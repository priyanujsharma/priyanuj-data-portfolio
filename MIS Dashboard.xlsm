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hidePivotFieldList="1" defaultThemeVersion="166925"/>
  <mc:AlternateContent xmlns:mc="http://schemas.openxmlformats.org/markup-compatibility/2006">
    <mc:Choice Requires="x15">
      <x15ac:absPath xmlns:x15ac="http://schemas.microsoft.com/office/spreadsheetml/2010/11/ac" url="C:\Users\bleed\Desktop\"/>
    </mc:Choice>
  </mc:AlternateContent>
  <xr:revisionPtr revIDLastSave="0" documentId="13_ncr:1_{B51BC5ED-482F-4809-BA22-E18FA69A9EB6}" xr6:coauthVersionLast="47" xr6:coauthVersionMax="47" xr10:uidLastSave="{00000000-0000-0000-0000-000000000000}"/>
  <bookViews>
    <workbookView xWindow="-110" yWindow="-110" windowWidth="19420" windowHeight="11500" xr2:uid="{C294E9E5-88DB-4704-978E-CF16BC7DFE0B}"/>
  </bookViews>
  <sheets>
    <sheet name="Dashboard" sheetId="3" r:id="rId1"/>
    <sheet name="Workings" sheetId="2" r:id="rId2"/>
    <sheet name="Source Data" sheetId="1" r:id="rId3"/>
  </sheets>
  <definedNames>
    <definedName name="_xlchart.v5.0" hidden="1">Workings!$D$37</definedName>
    <definedName name="_xlchart.v5.1" hidden="1">Workings!$D$38:$D$65</definedName>
    <definedName name="_xlchart.v5.2" hidden="1">Workings!$E$37</definedName>
    <definedName name="_xlchart.v5.3" hidden="1">Workings!$E$38:$E$65</definedName>
    <definedName name="_xlchart.v5.4" hidden="1">Workings!$G$37</definedName>
    <definedName name="_xlchart.v5.5" hidden="1">Workings!$G$38:$G$73</definedName>
    <definedName name="_xlchart.v5.6" hidden="1">Workings!$H$37</definedName>
    <definedName name="_xlchart.v5.7" hidden="1">Workings!$H$38:$H$73</definedName>
    <definedName name="Slicer_State_UT">#N/A</definedName>
    <definedName name="Slicer_Year">#N/A</definedName>
  </definedNames>
  <calcPr calcId="191029"/>
  <pivotCaches>
    <pivotCache cacheId="3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3" i="1" l="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2" i="1"/>
  <c r="B16" i="2"/>
  <c r="B8" i="2"/>
  <c r="A41" i="2"/>
  <c r="A36" i="2"/>
  <c r="A31" i="2"/>
  <c r="A26" i="2"/>
  <c r="A21" i="2"/>
</calcChain>
</file>

<file path=xl/sharedStrings.xml><?xml version="1.0" encoding="utf-8"?>
<sst xmlns="http://schemas.openxmlformats.org/spreadsheetml/2006/main" count="1491" uniqueCount="93">
  <si>
    <t>State_UT</t>
  </si>
  <si>
    <t>Year</t>
  </si>
  <si>
    <t>Primary_Boys</t>
  </si>
  <si>
    <t>Primary_Girls</t>
  </si>
  <si>
    <t>Primary_Total</t>
  </si>
  <si>
    <t>Upper_Primary_Boys</t>
  </si>
  <si>
    <t>Upper_Primary_Girls</t>
  </si>
  <si>
    <t>Upper_Primary_Total</t>
  </si>
  <si>
    <t>Secondary_Boys</t>
  </si>
  <si>
    <t>Secondary_Girls</t>
  </si>
  <si>
    <t>Secondary_Total</t>
  </si>
  <si>
    <t>HrSecondary_Boys</t>
  </si>
  <si>
    <t>HrSecondary_Girls</t>
  </si>
  <si>
    <t>HrSecondary_Total</t>
  </si>
  <si>
    <t>GER_Primary_Boys</t>
  </si>
  <si>
    <t>GER_Primary_Girls</t>
  </si>
  <si>
    <t>GER_Primary_Total</t>
  </si>
  <si>
    <t>GER_Upper_Primary_Boys</t>
  </si>
  <si>
    <t>GER_Upper_Primary_Girls</t>
  </si>
  <si>
    <t>GER_Upper_Primary_Total</t>
  </si>
  <si>
    <t>GER_Secondary_Boys</t>
  </si>
  <si>
    <t>GER_Secondary_Girls</t>
  </si>
  <si>
    <t>GER_Secondary_Total</t>
  </si>
  <si>
    <t>GER_HrSecondary_Boys</t>
  </si>
  <si>
    <t>GER_HrSecondary_Girls</t>
  </si>
  <si>
    <t>GER_HrSecondary_Total</t>
  </si>
  <si>
    <t>Schools_With_Boys_Toilet</t>
  </si>
  <si>
    <t>Schools_With_Girls_Toilet</t>
  </si>
  <si>
    <t>Schools_With_Computer</t>
  </si>
  <si>
    <t>Schools_With_Electricity</t>
  </si>
  <si>
    <t>Schools_With_Water</t>
  </si>
  <si>
    <t>Andaman &amp; Nicobar Islands</t>
  </si>
  <si>
    <t>2012-13</t>
  </si>
  <si>
    <t>NULL</t>
  </si>
  <si>
    <t>2013-14</t>
  </si>
  <si>
    <t>2014-15</t>
  </si>
  <si>
    <t>2015-16</t>
  </si>
  <si>
    <t>Andhra Pradesh</t>
  </si>
  <si>
    <t>Arunachal Pradesh</t>
  </si>
  <si>
    <t>Assam</t>
  </si>
  <si>
    <t>Bihar</t>
  </si>
  <si>
    <t>Chandigarh</t>
  </si>
  <si>
    <t>Chhattisgarh</t>
  </si>
  <si>
    <t>Dadra and Nagar Haveli</t>
  </si>
  <si>
    <t>Daman and Diu</t>
  </si>
  <si>
    <t>Delhi</t>
  </si>
  <si>
    <t>Goa</t>
  </si>
  <si>
    <t>Gujarat</t>
  </si>
  <si>
    <t>Haryana</t>
  </si>
  <si>
    <t>Himachal Pradesh</t>
  </si>
  <si>
    <t>Jammu &amp; Kashmir</t>
  </si>
  <si>
    <t>Jharkhand</t>
  </si>
  <si>
    <t>Karnataka</t>
  </si>
  <si>
    <t>Kerala</t>
  </si>
  <si>
    <t>Lakshadweep</t>
  </si>
  <si>
    <t>Madhya Pradesh</t>
  </si>
  <si>
    <t>Maharashtra</t>
  </si>
  <si>
    <t>Manipur</t>
  </si>
  <si>
    <t>Meghalaya</t>
  </si>
  <si>
    <t>Mizoram</t>
  </si>
  <si>
    <t>Nagaland</t>
  </si>
  <si>
    <t>Odisha</t>
  </si>
  <si>
    <t>Puducherry</t>
  </si>
  <si>
    <t>Punjab</t>
  </si>
  <si>
    <t>Rajasthan</t>
  </si>
  <si>
    <t>Sikkim</t>
  </si>
  <si>
    <t>Tamil Nadu</t>
  </si>
  <si>
    <t>Telangana</t>
  </si>
  <si>
    <t>Tripura</t>
  </si>
  <si>
    <t>Uttar Pradesh</t>
  </si>
  <si>
    <t>Uttarakhand</t>
  </si>
  <si>
    <t>West Bengal</t>
  </si>
  <si>
    <t>Row Labels</t>
  </si>
  <si>
    <t>Grand Total</t>
  </si>
  <si>
    <t>State</t>
  </si>
  <si>
    <t>Average Dropout Rate</t>
  </si>
  <si>
    <t>Average GER</t>
  </si>
  <si>
    <t>Average of Primary_Total</t>
  </si>
  <si>
    <t>Average of Upper_Primary_Total</t>
  </si>
  <si>
    <t>Average of Secondary_Total</t>
  </si>
  <si>
    <t>Average of HrSecondary_Total</t>
  </si>
  <si>
    <t>Average of GER_Primary_Total</t>
  </si>
  <si>
    <t>Average of GER_Upper_Primary_Total</t>
  </si>
  <si>
    <t>Average of GER_Secondary_Total</t>
  </si>
  <si>
    <t>Average of GER_HrSecondary_Total</t>
  </si>
  <si>
    <t>Schools w/Boys Toilet</t>
  </si>
  <si>
    <t>Schools w/ Girls Toilet</t>
  </si>
  <si>
    <t>Schools w/ Computers</t>
  </si>
  <si>
    <t>Schools w/ Electricity</t>
  </si>
  <si>
    <t>Schools w/ Water</t>
  </si>
  <si>
    <t>Average Dropout</t>
  </si>
  <si>
    <t>Overall Dropout Rate</t>
  </si>
  <si>
    <t>Overall 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</si>
</sst>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0" fillId="0" borderId="0" xfId="0" pivotButton="1"/>
    <xf numFmtId="0" fontId="0" fillId="0" borderId="0" xfId="0" applyAlignment="1">
      <alignment horizontal="left"/>
    </xf>
    <xf numFmtId="164" fontId="0" fillId="0" borderId="0" xfId="0" applyNumberFormat="1"/>
    <xf numFmtId="0" fontId="16" fillId="0" borderId="0" xfId="0" applyFont="1" applyAlignment="1">
      <alignment horizontal="left"/>
    </xf>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37">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font>
        <b/>
        <i val="0"/>
        <sz val="11"/>
        <color theme="3" tint="-0.24994659260841701"/>
        <name val="Calibri"/>
        <family val="2"/>
        <scheme val="minor"/>
      </font>
      <border diagonalUp="0" diagonalDown="0">
        <left/>
        <right/>
        <top/>
        <bottom/>
        <vertical/>
        <horizontal/>
      </border>
    </dxf>
    <dxf>
      <font>
        <color theme="1"/>
      </font>
      <fill>
        <patternFill>
          <bgColor theme="8" tint="0.59996337778862885"/>
        </patternFill>
      </fill>
      <border diagonalUp="0" diagonalDown="0">
        <left/>
        <right/>
        <top/>
        <bottom/>
        <vertical/>
        <horizontal/>
      </border>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font>
        <b/>
        <i val="0"/>
        <sz val="11"/>
        <color theme="2"/>
        <name val="Aptos Narrow"/>
        <family val="2"/>
        <scheme val="none"/>
      </font>
      <border>
        <vertical/>
        <horizontal/>
      </border>
    </dxf>
    <dxf>
      <font>
        <b/>
        <i val="0"/>
        <color theme="2" tint="-9.9948118533890809E-2"/>
        <name val="Aptos Display"/>
        <family val="2"/>
        <scheme val="none"/>
      </font>
      <fill>
        <patternFill>
          <bgColor theme="1" tint="0.34998626667073579"/>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4" formatCode="0.0"/>
    </dxf>
  </dxfs>
  <tableStyles count="2" defaultTableStyle="TableStyleMedium2" defaultPivotStyle="PivotStyleLight16">
    <tableStyle name="PortfolioSlicer1" pivot="0" table="0" count="10" xr9:uid="{3C80630F-7E07-4805-A8BA-C15B01FFDEF6}">
      <tableStyleElement type="wholeTable" dxfId="145"/>
      <tableStyleElement type="headerRow" dxfId="144"/>
    </tableStyle>
    <tableStyle name="SalesTimeline" pivot="0" table="0" count="9" xr9:uid="{6A4ACCA0-7442-4FB6-ACFB-3CF11465B5C4}">
      <tableStyleElement type="wholeTable" dxfId="435"/>
      <tableStyleElement type="headerRow" dxfId="434"/>
    </tableStyle>
  </tableStyles>
  <extLst>
    <ext xmlns:x14="http://schemas.microsoft.com/office/spreadsheetml/2009/9/main" uri="{46F421CA-312F-682f-3DD2-61675219B42D}">
      <x14:dxfs count="12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8" tint="0.59996337778862885"/>
            <name val="Calibri"/>
            <family val="2"/>
            <scheme val="minor"/>
          </font>
          <fill>
            <patternFill patternType="solid">
              <fgColor rgb="FFFFFFFF"/>
              <bgColor theme="6" tint="-0.2499465926084170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2" tint="-0.24994659260841701"/>
            <name val="Calibri"/>
            <family val="2"/>
            <scheme val="minor"/>
          </font>
          <fill>
            <patternFill patternType="solid">
              <fgColor rgb="FFFFFFFF"/>
              <bgColor theme="6" tint="-0.2499465926084170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6" tint="-0.2499465926084170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6"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6"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6"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8"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8"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8"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8"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3" tint="-0.24994659260841701"/>
            <name val="Calibri"/>
            <family val="2"/>
            <scheme val="minor"/>
          </font>
          <fill>
            <patternFill patternType="solid">
              <fgColor rgb="FFFFFFFF"/>
              <bgColor theme="8"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1"/>
            <color theme="8" tint="0.59996337778862885"/>
            <name val="Calibri"/>
            <family val="2"/>
            <scheme val="minor"/>
          </font>
          <fill>
            <patternFill patternType="solid">
              <fgColor theme="4" tint="0.59999389629810485"/>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PortfolioSlicer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88402966399123"/>
              <bgColor theme="1" tint="0.499984740745262"/>
            </patternFill>
          </fill>
          <border>
            <vertical/>
            <horizontal/>
          </border>
        </dxf>
        <dxf>
          <fill>
            <patternFill patternType="solid">
              <fgColor auto="1"/>
              <bgColor theme="2" tint="-9.9948118533890809E-2"/>
            </patternFill>
          </fill>
          <border>
            <left style="thin">
              <color theme="1" tint="0.499984740745262"/>
            </left>
            <right style="thin">
              <color theme="1" tint="0.499984740745262"/>
            </right>
            <top style="thin">
              <color theme="1" tint="0.499984740745262"/>
            </top>
            <bottom style="thin">
              <color theme="1" tint="0.499984740745262"/>
            </bottom>
            <vertical/>
            <horizontal/>
          </border>
        </dxf>
        <dxf>
          <fill>
            <patternFill patternType="solid">
              <fgColor auto="1"/>
              <bgColor theme="5" tint="0.39994506668294322"/>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b/>
            <i val="0"/>
            <sz val="9"/>
            <color theme="2" tint="-9.9948118533890809E-2"/>
            <name val="Aptos Narrow"/>
            <family val="2"/>
            <scheme val="none"/>
          </font>
          <border>
            <left/>
            <right/>
            <top/>
            <bottom/>
            <vertical/>
            <horizontal/>
          </border>
        </dxf>
        <dxf>
          <font>
            <b/>
            <i val="0"/>
            <sz val="9"/>
            <color theme="2" tint="-9.9948118533890809E-2"/>
            <name val="Aptos Narrow"/>
            <family val="2"/>
            <scheme val="none"/>
          </font>
          <border>
            <left/>
            <right/>
            <top/>
            <bottom/>
            <vertical/>
            <horizontal/>
          </border>
        </dxf>
        <dxf>
          <font>
            <b val="0"/>
            <i val="0"/>
            <sz val="9"/>
            <color theme="2" tint="-9.9917600024414813E-2"/>
            <name val="Aptos Display"/>
            <family val="2"/>
            <scheme val="none"/>
          </font>
          <border>
            <left/>
            <right/>
            <top/>
            <bottom/>
            <vertical/>
            <horizontal/>
          </border>
        </dxf>
        <dxf>
          <font>
            <b val="0"/>
            <i val="0"/>
            <sz val="10"/>
            <color theme="5" tint="0.39991454817346722"/>
            <name val="Aptos Narrow"/>
            <family val="2"/>
            <scheme val="none"/>
          </font>
          <border>
            <left/>
            <right/>
            <top/>
            <bottom/>
            <vertical/>
            <horizontal/>
          </border>
        </dxf>
      </x15:dxfs>
    </ext>
    <ext xmlns:x15="http://schemas.microsoft.com/office/spreadsheetml/2010/11/main" uri="{9260A510-F301-46a8-8635-F512D64BE5F5}">
      <x15:timelineStyles defaultTimelineStyle="TimeSlicerStyleLight1">
        <x15:timelineStyle name="SalesTimelin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Dashboard.xlsm]Workings!PivotTable8</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5">
                <a:lumMod val="75000"/>
              </a:schemeClr>
            </a:solidFill>
            <a:round/>
          </a:ln>
          <a:effectLst/>
        </c:spPr>
        <c:marker>
          <c:symbol val="plus"/>
          <c:size val="3"/>
          <c:spPr>
            <a:solidFill>
              <a:schemeClr val="accent5">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5">
                <a:lumMod val="75000"/>
              </a:schemeClr>
            </a:solidFill>
            <a:round/>
          </a:ln>
          <a:effectLst/>
        </c:spPr>
        <c:marker>
          <c:symbol val="plus"/>
          <c:size val="3"/>
          <c:spPr>
            <a:solidFill>
              <a:schemeClr val="accent5">
                <a:lumMod val="75000"/>
              </a:schemeClr>
            </a:solidFill>
            <a:ln w="9525">
              <a:noFill/>
            </a:ln>
            <a:effectLst/>
          </c:spPr>
        </c:marker>
      </c:pivotFmt>
      <c:pivotFmt>
        <c:idx val="7"/>
        <c:spPr>
          <a:ln w="28575" cap="rnd">
            <a:solidFill>
              <a:schemeClr val="accent5">
                <a:lumMod val="75000"/>
              </a:schemeClr>
            </a:solidFill>
            <a:round/>
          </a:ln>
          <a:effectLst/>
        </c:spPr>
        <c:marker>
          <c:symbol val="plus"/>
          <c:size val="3"/>
          <c:spPr>
            <a:solidFill>
              <a:schemeClr val="accent5">
                <a:lumMod val="75000"/>
              </a:schemeClr>
            </a:solidFill>
            <a:ln w="9525">
              <a:noFill/>
            </a:ln>
            <a:effectLst/>
          </c:spPr>
        </c:marker>
      </c:pivotFmt>
    </c:pivotFmts>
    <c:plotArea>
      <c:layout/>
      <c:barChart>
        <c:barDir val="col"/>
        <c:grouping val="clustered"/>
        <c:varyColors val="0"/>
        <c:ser>
          <c:idx val="0"/>
          <c:order val="0"/>
          <c:tx>
            <c:strRef>
              <c:f>Workings!$E$3</c:f>
              <c:strCache>
                <c:ptCount val="1"/>
                <c:pt idx="0">
                  <c:v>Overall GER</c:v>
                </c:pt>
              </c:strCache>
            </c:strRef>
          </c:tx>
          <c:spPr>
            <a:solidFill>
              <a:schemeClr val="accent5">
                <a:lumMod val="60000"/>
                <a:lumOff val="40000"/>
              </a:schemeClr>
            </a:solidFill>
            <a:ln>
              <a:noFill/>
            </a:ln>
            <a:effectLst/>
          </c:spPr>
          <c:invertIfNegative val="0"/>
          <c:cat>
            <c:strRef>
              <c:f>Workings!$D$4:$D$8</c:f>
              <c:strCache>
                <c:ptCount val="4"/>
                <c:pt idx="0">
                  <c:v>2012-13</c:v>
                </c:pt>
                <c:pt idx="1">
                  <c:v>2013-14</c:v>
                </c:pt>
                <c:pt idx="2">
                  <c:v>2014-15</c:v>
                </c:pt>
                <c:pt idx="3">
                  <c:v>2015-16</c:v>
                </c:pt>
              </c:strCache>
            </c:strRef>
          </c:cat>
          <c:val>
            <c:numRef>
              <c:f>Workings!$E$4:$E$8</c:f>
              <c:numCache>
                <c:formatCode>0.0</c:formatCode>
                <c:ptCount val="4"/>
                <c:pt idx="0">
                  <c:v>#N/A</c:v>
                </c:pt>
                <c:pt idx="1">
                  <c:v>87.933823529411782</c:v>
                </c:pt>
                <c:pt idx="2">
                  <c:v>88.080714285714265</c:v>
                </c:pt>
                <c:pt idx="3">
                  <c:v>87.763888888888886</c:v>
                </c:pt>
              </c:numCache>
            </c:numRef>
          </c:val>
          <c:extLst>
            <c:ext xmlns:c16="http://schemas.microsoft.com/office/drawing/2014/chart" uri="{C3380CC4-5D6E-409C-BE32-E72D297353CC}">
              <c16:uniqueId val="{00000000-2350-4342-ACED-8820CEE798F6}"/>
            </c:ext>
          </c:extLst>
        </c:ser>
        <c:dLbls>
          <c:showLegendKey val="0"/>
          <c:showVal val="0"/>
          <c:showCatName val="0"/>
          <c:showSerName val="0"/>
          <c:showPercent val="0"/>
          <c:showBubbleSize val="0"/>
        </c:dLbls>
        <c:gapWidth val="243"/>
        <c:axId val="911312992"/>
        <c:axId val="911314432"/>
      </c:barChart>
      <c:lineChart>
        <c:grouping val="standard"/>
        <c:varyColors val="0"/>
        <c:ser>
          <c:idx val="1"/>
          <c:order val="1"/>
          <c:tx>
            <c:strRef>
              <c:f>Workings!$F$3</c:f>
              <c:strCache>
                <c:ptCount val="1"/>
                <c:pt idx="0">
                  <c:v>Overall Dropout Rate</c:v>
                </c:pt>
              </c:strCache>
            </c:strRef>
          </c:tx>
          <c:spPr>
            <a:ln w="28575" cap="rnd">
              <a:solidFill>
                <a:schemeClr val="accent5">
                  <a:lumMod val="75000"/>
                </a:schemeClr>
              </a:solidFill>
              <a:round/>
            </a:ln>
            <a:effectLst/>
          </c:spPr>
          <c:marker>
            <c:symbol val="plus"/>
            <c:size val="3"/>
            <c:spPr>
              <a:solidFill>
                <a:schemeClr val="accent5">
                  <a:lumMod val="75000"/>
                </a:schemeClr>
              </a:solidFill>
              <a:ln w="9525">
                <a:noFill/>
              </a:ln>
              <a:effectLst/>
            </c:spPr>
          </c:marker>
          <c:cat>
            <c:strRef>
              <c:f>Workings!$D$4:$D$8</c:f>
              <c:strCache>
                <c:ptCount val="4"/>
                <c:pt idx="0">
                  <c:v>2012-13</c:v>
                </c:pt>
                <c:pt idx="1">
                  <c:v>2013-14</c:v>
                </c:pt>
                <c:pt idx="2">
                  <c:v>2014-15</c:v>
                </c:pt>
                <c:pt idx="3">
                  <c:v>2015-16</c:v>
                </c:pt>
              </c:strCache>
            </c:strRef>
          </c:cat>
          <c:val>
            <c:numRef>
              <c:f>Workings!$F$4:$F$8</c:f>
              <c:numCache>
                <c:formatCode>0.0</c:formatCode>
                <c:ptCount val="4"/>
                <c:pt idx="0">
                  <c:v>7.791666666666667</c:v>
                </c:pt>
                <c:pt idx="1">
                  <c:v>8.947619047619046</c:v>
                </c:pt>
                <c:pt idx="2">
                  <c:v>8.2706521739130476</c:v>
                </c:pt>
                <c:pt idx="3">
                  <c:v>#N/A</c:v>
                </c:pt>
              </c:numCache>
            </c:numRef>
          </c:val>
          <c:smooth val="0"/>
          <c:extLst>
            <c:ext xmlns:c16="http://schemas.microsoft.com/office/drawing/2014/chart" uri="{C3380CC4-5D6E-409C-BE32-E72D297353CC}">
              <c16:uniqueId val="{00000001-2350-4342-ACED-8820CEE798F6}"/>
            </c:ext>
          </c:extLst>
        </c:ser>
        <c:dLbls>
          <c:showLegendKey val="0"/>
          <c:showVal val="0"/>
          <c:showCatName val="0"/>
          <c:showSerName val="0"/>
          <c:showPercent val="0"/>
          <c:showBubbleSize val="0"/>
        </c:dLbls>
        <c:marker val="1"/>
        <c:smooth val="0"/>
        <c:axId val="911311072"/>
        <c:axId val="911316352"/>
      </c:lineChart>
      <c:catAx>
        <c:axId val="91131107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5">
                    <a:lumMod val="40000"/>
                    <a:lumOff val="60000"/>
                  </a:schemeClr>
                </a:solidFill>
                <a:latin typeface="+mn-lt"/>
                <a:ea typeface="+mn-ea"/>
                <a:cs typeface="+mn-cs"/>
              </a:defRPr>
            </a:pPr>
            <a:endParaRPr lang="en-US"/>
          </a:p>
        </c:txPr>
        <c:crossAx val="911316352"/>
        <c:crosses val="autoZero"/>
        <c:auto val="1"/>
        <c:lblAlgn val="ctr"/>
        <c:lblOffset val="100"/>
        <c:noMultiLvlLbl val="0"/>
      </c:catAx>
      <c:valAx>
        <c:axId val="91131635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5">
                    <a:lumMod val="40000"/>
                    <a:lumOff val="60000"/>
                  </a:schemeClr>
                </a:solidFill>
                <a:latin typeface="+mn-lt"/>
                <a:ea typeface="+mn-ea"/>
                <a:cs typeface="+mn-cs"/>
              </a:defRPr>
            </a:pPr>
            <a:endParaRPr lang="en-US"/>
          </a:p>
        </c:txPr>
        <c:crossAx val="911311072"/>
        <c:crosses val="autoZero"/>
        <c:crossBetween val="between"/>
      </c:valAx>
      <c:valAx>
        <c:axId val="91131443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5">
                    <a:lumMod val="40000"/>
                    <a:lumOff val="60000"/>
                  </a:schemeClr>
                </a:solidFill>
                <a:latin typeface="+mn-lt"/>
                <a:ea typeface="+mn-ea"/>
                <a:cs typeface="+mn-cs"/>
              </a:defRPr>
            </a:pPr>
            <a:endParaRPr lang="en-US"/>
          </a:p>
        </c:txPr>
        <c:crossAx val="911312992"/>
        <c:crosses val="max"/>
        <c:crossBetween val="between"/>
      </c:valAx>
      <c:catAx>
        <c:axId val="911312992"/>
        <c:scaling>
          <c:orientation val="minMax"/>
        </c:scaling>
        <c:delete val="1"/>
        <c:axPos val="b"/>
        <c:numFmt formatCode="General" sourceLinked="1"/>
        <c:majorTickMark val="out"/>
        <c:minorTickMark val="none"/>
        <c:tickLblPos val="nextTo"/>
        <c:crossAx val="911314432"/>
        <c:crosses val="autoZero"/>
        <c:auto val="1"/>
        <c:lblAlgn val="ctr"/>
        <c:lblOffset val="100"/>
        <c:noMultiLvlLbl val="0"/>
      </c:catAx>
      <c:dTable>
        <c:showHorzBorder val="1"/>
        <c:showVertBorder val="1"/>
        <c:showOutline val="1"/>
        <c:showKeys val="1"/>
        <c:spPr>
          <a:noFill/>
          <a:ln w="9525" cap="flat" cmpd="sng" algn="ctr">
            <a:solidFill>
              <a:schemeClr val="accent5">
                <a:lumMod val="60000"/>
                <a:lumOff val="40000"/>
              </a:schemeClr>
            </a:solidFill>
            <a:round/>
          </a:ln>
          <a:effectLst/>
        </c:spPr>
        <c:txPr>
          <a:bodyPr rot="0" spcFirstLastPara="1" vertOverflow="ellipsis" vert="horz" wrap="square" anchor="ctr" anchorCtr="1"/>
          <a:lstStyle/>
          <a:p>
            <a:pPr rtl="0">
              <a:defRPr sz="900" b="0" i="0" u="none" strike="noStrike" kern="1200" baseline="0">
                <a:solidFill>
                  <a:schemeClr val="accent5">
                    <a:lumMod val="40000"/>
                    <a:lumOff val="60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5">
                  <a:lumMod val="40000"/>
                  <a:lumOff val="6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3BF0110D-4DE7-4C78-A69E-13739E1BFE3E}">
          <cx:tx>
            <cx:txData>
              <cx:f>_xlchart.v5.2</cx:f>
              <cx:v>Average Dropout Rate</cx:v>
            </cx:txData>
          </cx:tx>
          <cx:dataLabels>
            <cx:txPr>
              <a:bodyPr spcFirstLastPara="1" vertOverflow="ellipsis" horzOverflow="overflow" wrap="square" lIns="0" tIns="0" rIns="0" bIns="0" anchor="ctr" anchorCtr="1"/>
              <a:lstStyle/>
              <a:p>
                <a:pPr algn="ctr" rtl="0">
                  <a:defRPr sz="700" b="0">
                    <a:solidFill>
                      <a:sysClr val="windowText" lastClr="000000"/>
                    </a:solidFill>
                  </a:defRPr>
                </a:pPr>
                <a:endParaRPr lang="en-US" sz="700" b="0" i="0" u="none" strike="noStrike" baseline="0">
                  <a:solidFill>
                    <a:sysClr val="windowText" lastClr="000000"/>
                  </a:solidFill>
                  <a:latin typeface="Calibri" panose="020F0502020204030204"/>
                </a:endParaRPr>
              </a:p>
            </cx:txPr>
            <cx:visibility seriesName="0" categoryName="0" value="1"/>
          </cx:dataLabels>
          <cx:dataId val="0"/>
          <cx:layoutPr>
            <cx:geography cultureLanguage="en-US" cultureRegion="IN" attribution="Powered by Bing">
              <cx:geoCache provider="{E9337A44-BEBE-4D9F-B70C-5C5E7DAFC167}">
                <cx:binary>1H3ZctzGsu2vKPRwnw5ooOba9/hE7EJ3ozmKIilT0guixQHzVEBh+vqbLZIyCTdFGeY+cclw2EF2
o5DIrJXjKvi/r/p/XaU3G/2uz9K8/tdV//v7sGnKf/32W30V3mSbei+LrnRRF7fN3lWR/Vbc3kZX
N79d600X5cFvyHbIb1fhRjc3/fv/+W9YLbgpjoqrTRMV+Udzo4ezm9qkTf2Tz3Z+9G5znUX5Iqob
HV01zu/v/51fb7JN/u7/bLLy/747ia6KbyD1fp1u8uv6/bubvIma4WIob35//+TS9+9+m97gL8K8
S0HexlzDtQ7aY7ZtI2GT9+/SIg/u/y7RnsAOYgLb8u7n4Z4nmwyuexAPpPk7wn0XbXN9rW/qGh75
+39fWOzJ08F3T96/uypM3mxVHYDWf3+/n19Hm/fvorpw7z5wi+2j7cM3QRe/PTXSX/4A2pl85ZEd
p6p86aO/mrGuN9mD6v65uRDbw5RgIR3xwywTqyFOpS3x3cf44db3VntJmmfsc3fZ1BLnb8sS2uQb
gG767lRvrm/q8EE1r2AVvkclBqtQB7C0hdNTLLE9x+aYswcosYdb31vl70j2jIX+usTUWmf/1FpP
cfTIhyCxh/l2vzlbVwI/ztPHJ3uUwqf8+7+333uTjz9xEv9ht5Ffh3rz+jvVoXtgBgre42EvPjEV
l3uSUeJQSbZ2knLqP35ZrGe26eT66R49/ad79H/VSG4YbpomqoONfk1n4uwhxgSRFO1Ck0B7NnHA
yW+dzF0WcOdFflWa3ZZ5evXELu7Fm7LLYgPp2rvvmckGbPNuvWlv0uhBW6/g7u09B0lEHPk0Z+IY
/LxNEOX3loOPH1vo78u121bPrTOx2nNfe0PZ06m5NpCWaz08aPKfW89x9oREDkN4J77ABXImEEfk
Dn3bYPbYiL8m0m7DPb52YqzTL28KYl4BCfedWl7BInQPM4ywRDuTWk72bIqYZAjdBSX6cOs7x/eC
LLtN8f2iiQ28f78pGyy+14dbN7eIzINK/rk1kL1H7pAhdsUfvi0MtzmemOQGvyzOboNMLp+YZvLp
G3Jhnok3etO8on2gYpeQIdCHDA7S6UclIHegFuE2xfQeLfzh1vdoeVme3Qb68SAT03gHbwo1B9C8
SUJAzYNaXgExeI9RBimBuK+6xROLCLpHGXEwNFPu/NckLfgliXbb5NGlE6scrN+UVdYbPWzyV4wp
SO45UkCGBsHiMTqgf0JsiO3k3rlNSvFfkGO3JX5cOLHD+h+X3f+rJc06yv5DPRLs7EmEKVQ2u9Mu
vocwQw5mzxjmbwj2jIX+ssLUVG+r+jzYZJm5bw8fbuowi/TruTSMwWdxSant3PmsSZCh244WY+zh
4wmM/qZsuw22c5GJzQ4O35SbO9zofNNskld0dA7Z4w4UneQ+aZs03zj0HsGQDsW7O8K/JNFu+zy6
dGKVw7eVSB9vrsPhP9BsQwAiLBxouO3OpMUeEkIyjO8xNkmof12s3faZXj8x0vHbcnfHG0jcwM01
+jXBI/cItNkEhpHJ9x9nmi04tpAY3XdD5aTy/EWZnjPPowea2uZtZW/HmzwqzSuGHwRODRMGXYGH
IueJXSTeE1wKTp3vYweIUA+R767G+QV5nrPJ/YNM7fG2ho4n0PbczokftPIKJQ7bs5kjIHfbmQ9I
skcYeDp+7+jsSdH5KwLttsifV05McnL0piL/cTQW+lUnwXgP24AAGz+tNr8P7pmNpL17hPMLguy2
xI8LJ4Y4/vqmDHFq8njz7fWQge09QRBMzBDs+ceVJt0jDhQz0r73UZPo/rIcu83wcN3ECqfqTVnh
PEqS6DV5ETCB57aNbbQzYAixRzhHMNW8Lz4n9crL4uw2xsN1E2Ocv62q5GKTRem7k831K3aRYcpi
OwzGYeKpe+JgCZuDmegkRPyaELvN8PjaiSku3lbkvriBuB28aifM4XsQlRkFytBTByX3bFtu58z3
gQI+fjzo+iVRnrHHn08xNYf3ptzUhd7mta9YcEBJyAl07mHY9cQY0oG/Iw7dr3sHNak0fkGQZ0zx
8ARTQ5y9KUN8ahoY5L8+cYvdNSWde97WpHkibOiCMZikPDT2JzH8l6XabZvJ5RMLfXpb9fn3h9m8
8mQFkiuYm9gw7WJ3bci/uDAIJBgGL/dNyglqflGmn1jn4YGmtnlbAf7ypm7eqRsILOmDj3+FkhCK
8C1VzOZPE1/B9ySHcT25bzhOmya/KMxuozy5eGKUy/+/U+DdM+vHHIon3/ibPG6EgBiMgBT2EEDQ
k/gCrBZopjBuY3rX6JpkX/cU6uel2W2O+8ueCP4f5mNPxmGPCNk/aO4LaLEvv/Pjf/nT748HVP7J
pT+juNzpav/69/cQ0aUN7Q8ElDAKMy4HQRvxBwt/u+STxGo3L+vdv7dEjl2UjmdvcbOpG7g73kNb
upJ0CIxrOIjx/l0HgIdPoDTlAFAK3GNsQ4MGvGde6Cb8/T2QPDgBfr+ED0BsYCa/f1cX5v4jmxAG
68HjbJcUPw46nBbpEBT5D0Xf//4uN9lpEeVNDecJMPjg8u5794ILgWE24WCHbalxEoQorzZncJpi
+/X/qvy4iwM2kqXffTJDcSwvnFWwCrGrIxX5rojdiK7s+gx/ynsljTvGn+oqWkXZpd83i8i3XNES
106yr9JvF0m4DrNaGWvFhfbaUii/zvZD8W3oySIsg1iZ6NJ0X1HULK1BM2WP57i0VIeGDzjUK2wd
lOJW92669tlFi06C6zBPVU6PhiZReXdcaOP67DbLmZtopEJLRQ7bp3GTKWk7J22WL4bOctNw8DKW
xIr1xu1JvKKWZ7NYr2KnCdzCpCd9+DWXo2J5982W+ae6sT9m1RguooALRfFQLmseuyS/atIPTLSN
Mm3SKCeuFQ46lYaV0oPqODp14vg8SMd9jPXKHtDaItlBYrPUZdkR7p3YrcvyQ210oqpAL4xlLVls
n6ZOqvoyjpWFixtqSO7mFflix5YHZlq2RbAsZKBiv1uROlkNZHB10y9iphdpUh/jqDltGD5xfHyV
cHbaFyBrNwxUlQ76o4+GT4U1rlAmlwEhsYoFcVTIeKZYC6sGYXQaZKVRlaxrRUR0UtWdG/fHj2Cz
a285kH893VuAO6gmbe44nMA8crK3ktau+6iw5LIfs0+6sQqXkPq0b+k67NgSOv/VIuXsoElyLy0/
0Kz3qEMOm0yYxWDjVmV1myvfl/ssSteJZa8i0610nPjK+PgUt8Wq7+k5JlSrOK4XFY4Oq/zQNsTT
ZX7oDCvHEst8KFUZjR9pGq4F75bakScNmLAcolui6RlNvligZt9QN9LZKoiTVeCErtbNourwoojr
IyH5AvXFItDWuhztU031qsXkdLDlESPBcT8YJfvMy8LmIi59F7akN8oD4nxltFXxaA4qNp7YRZcr
qwgqxXkfKgm7MhnyVdlGRyI/5lXqWb5WNBPfsmZYp6m9Dro6ACzVtpuY8Wjsm6UQ/mYo6arIjcpg
QWXsqFaWMxyAu7hEKDiJ8wuk9bH2ybp2uou8/zrGtD8s0VC4ce7wL5WPjbLC9LMV42VYOh6LYYt0
jKwcJtcV1td2DzK22fAhGIyvhF/QhWywOay6SpVshIbjD++6Y5sg4Nf8ZZfAAQUMvQioriSB2PfY
A42FLRLd5f6SFclNYJlLH9Tna+drpUN3bPWBw/VZ5Scno2k/BLXej7v+JIqIcpK6WjUVP0qojBdx
Xe7rUX4IUQa+qzmrhcwXYZOcxmF7W9L8hd1N8HR3M/DcsL/BgUOAgUGU/VTuuqzSsnVif1lxzVWM
8IGfgMC0cHszpkqnVPlpKLwG/GIZsLWVgZOqHLNBfNWXuVeF6aC4NVKlq250S85hzwZoWaBozU2M
FGLpyRC15+BYPZz2p1FszkvL+TTiYJFpdB3Q/jwjtfKxaBZFqBvlRwncmDXFshcCXGOLbm0TGhU0
jXWEs66BzVg2Ki27s7BtTzthDkvmBypi+XHY+vEKEv2vFR8dhZP2gjnphzYlozK0vM2tOFxSXF50
jXUrQ5y6ImK3zErPaxZ/zsbI022drqhzW6aRF/aBK3OQIKj2dU3UKKTbhPSPLnM8LDqpuP7Whdb+
EAlVZN2ydlRgd67dhm6U0Mu8RKqLwjXx+2VGm2Pbik7rBqJHaaNFLOTacvJEhcZcxrr5VNkI/Dj5
PCbVpyDqPxiUj4vWNO5oNWscV24V2Gta5ec07NZ2MKq8ia98uzxPw+bAILxgCPAe0wWLxWmQ2/tF
2Z12RCxQKs4zB7XKZGxhbLmUjnSjgK6C0F6B6Y9sJ112bQdRJrpM+2rdcrNseOnS4dgujhp/XNYD
XTUydVMeKaf+HI/nPsNuEolFaA5lmezHuX+pQYXewIPIjX1nVeWZJ5JxGXZ5pjRubpMwdPuGnRqb
LCodf6mysVGyjvM1QqntjphUKma8uYwz/rEIsFZWVS1y3XVKlu1pROOrKiWtstBtJLJ935KXpE6V
bxXXIrBWpRlzVRT+UQ4wVLItTpsqWaORruKiPM86dpYE8SFBQ7cYfaaqkQ6ulTpwfbOQhVnVcbfw
gzqHyPQ5Rt0a9/06M6FUSR5lym+yTzjMPwc1Peo1/iNtRKEo+0zH6qLPTLOEXb1f+fx2RPjQNyFb
drVhKnWCw6FnXJlmGBY6EOmSkvEoCSBqseJDVkF6wbW9IfWYLlGnzwo8bJIqzFVims92ikPl5Kxw
IzmcatJ8akdx0PIyVNiOllaynyD6B+NO7jZO76IwvnBq9tkgc2j3/besH6Wy8nThpHhtdf2it+3T
jAWLhPp/ZE2nhE5cTeQZM9ZxkHwZq1EVwrjSD0/qNvqIs3E5wG4ncXk7RkgNoLG+l+f9gC9RFXlF
M+5rpzrzrW9tIm7laH/tg14FqF85Rl7FBC2ijLduQOmZL28yDiFDLol1osVJ6ZxQ/CE3Z3EbnWor
WxhcKobP2gGpJhafsr52E8g6irFxc4ZVW/YLFN8k0eDlnVgm9WcuLzoaqqgnCqe3MgoXDvpignMe
ZB4TWgny0cq0CururDAItot1HNtnPYpKFY5Htp8qPhDVQIyKGNnXfEVJtkyiRMmYQXz44HRXkpZu
xvHnxgjFBsB1gj4LeZr1ncvTj3ZgIgW+8rLyUeKaiC6C6FtX16vM3PZx4Wal/NZjnK5kW3+zSraO
dLBOIue67eLGNTLMVFLIxVAlgaKyW6ChUo0sxH4cJlxZrawXIsj+iAYrWPZoINeWRo4SllgUmItV
V4yHVOcXYVDxxRg7FzKxvhTDcFkk48XYx6ej33C3LXXk4hyT/aBJ0mWeinzJWW4WbZdDwTV6YuTr
xqoVA+aXawtIp4KwP7dIFShtl8vOJiqLu03DIB129D7rfMc1Ta5Gxr9lbXsgu/BGDOZC5mXpVjFa
x/EQLIoaUhPpZ8nS53askOUv4ra5SPEIqV22hET9qCjxbWKnbux4QcMOCCkWTqGPk64E70uOw4qe
DEPjCVyhBfFxsNJkCBXpqLXoKhktGqottyayWaaJNaj/CkcfpdxAmlZSeZqg2FaQgV1EdvZZj0Gu
siJMYDf4Zzh0DkA30dKXQ6tQ6Q+q4LxxeW6Msi0BN8nY+ffs4L5MvE8P7iqWq6IcdBSE96ezf/z6
PxdFBv98Pwb85x+f/vrncb9tPffjyPCkXrw7/P1MMfnTD59Umk/q6YeOzbaacrYZ8I/c5y+V5ZMq
/sf378pEyWEe6XBMKRArgBHGoOK7KxOZAKosBbasDWUsZEgYqtf7MhHzPWjvwOyA2QwOuMKxwB9l
IoNjMjb0eARHHAadUqK/UyY+TdEs5BDI34Entf37o+Kw9nu/SCLJ1qGzkPRD3QLZ/Mfz78j9nlt3
m1o9WleiqGV12vNlQ8M0VOMI6AsR6++OjN+ddP0by0PJ/Xj5mFvJ0PU5X4a60vqsY6MdXAT9WNz+
XHwYSz7KXP9UC1jk8foyGxNhEp8tJaL1+BGAKW0V4pg6yiZ2hhTBVeOvfn6z53Q1TTPB9nEX5GzZ
11hgJWwcaFUMTLyQh2/T7D8bAT8ehsPGe/wwXFZ2GcuBLY1TkmPH6Uh23tmxzY4G0eS9Z/GRaZUN
VXk264H4pCoshV22fHvDNpW8PyhC4xuX1CaMlj+/wVbyXU80KShENHZ2YzBddknNuwM2YB+5ZVKj
8IgmYYyOHZOYxK3qKh+4slPiVCs7D1u9/vn9na1pdgmw3TePtnfJszqhkPktTRC0lSuQ8DiGxDjB
VbdtA3RtpszAraOiC5xkaVBRCCgNA4EyoNXMABjfdn0eSZAGQ9amtAMVCERdrItbTrvohed7Zkfy
iVcoAKmdGBq6HIaaf7aLoVB+a+IP80Sf+IZUxBGrsabLBEfRjQ3vAjnKrSgx7rzlJ76hsDpaViGl
y7Th7R9OVxHV+yOf53n4xDPotIvLElV02UADZlzavdXqBSuLgs8Uf+INUB84Ykhj8AYFMbE7MAZp
XFUBlBaz9LONQ493DooHKy/q0vLyYoDOUh0B5xNyXij65q0/QX8tbGN3PRXeWEA+MwTE0qqPklq/
oKCnfc0f7oxNwC+LhKQGDb5XWGLMVp12ynaZdoMTLaooJHLmbSYQx6TwRVda3Gsag5o1lBq5vRxz
J+2XZdR0/TyosQmOq6KFdk2fCa9EkJwmegg/5JzJi5/b4jldTYDcJb1wOkg7PGT10TKtNcdHARmK
6jKhIulfUNV2tR3ekOGnOyoUQZkIXgpPp2TYt7LR/iADR6fq5w/x3PJTQPvRYINymGd4hXplxz35
wsaiXM5bfoJo0/ICaJWMeW0KFmjSIFsSY/FypvQTPJsI50M6xMIjdZuADQbRW6q2h2icdwM6wXMi
LVrJHrQvnazK90uH5tADjfnYnc5SEJ0AmqMB147VM0/WYfQHFzV0eKHtM7wg/xZQO3bPlpf02B9l
su1obALuZWld+Wc8yyrzB65GaR80Vij5RxiJYLY/71kmqOaDxsBEp9wrMWmidTPiXqowyTp7Hp7p
BM/Qma9YgzT3kjooyX6doVao2BD9Umzean2XuiaQHoI4sLMO9lPlD6VexAHm/DSzxpYdBM22rOwD
NOSf00zgryYPuvwFzT2X89AJytM+8HkxduB3U5GWB6FV+xwy+0RCWieaLibNtu02tm4UsjJbJf0Y
8AUjHS7OW7thZqaCJ95g8JnFRWL5XsYts8BRxz3BU/zCZnS2qN+l3ok3oG3TRxWqpIftURfL0fHb
Zkn9cUzXpcQcWuZ1VtyWFumyNRlFTk+gkYHyY8SFiD8L6DrRF0R5xu3RieMQeUzLoouIV3K/xi4b
5U3Z9101z2mTidtINWbO0Mfc01bZQZ/BIakKsAiuZwGNTJwGNESYiOOAeEHZiy8UQulJbVvZPJ89
nShUOMhjy+LSoylUMq5xRAZN7EgP9Qu77BmUkYmfqKNqoKjX0NsfOh/tC6K1/a0vHUBciEK7UHlk
ykyhkZXBVZmNNZpplon/wB30oRKkGTTq/MyoskJ1pgZDrJnhgkz8x0igiW6Y5ktTUWfJhjZYjKyw
FvPMPnESzJd2Hlf96NUmaLwx5zCg1WX8gg96BhJkgn2gu4ZWD6HBi1GUuahx4oU/FGjmpppAH6qe
QjhRMXoI6kZlh85lHpCXstbnRJ+g2WFlTvo0GL2AD82xGXLoUqdVCH3cWYrf0hsfR9EwNk2J9TDC
iDGT+6jtkwVMjYg3b/UJmnHZ0rJJYPXGR8TtMK9VnTnRTNknGYDI0ShaDma1GpjTJNi0iiWczPOj
eALl2La03fn16FVOlK5qmQduC5OG1c81s8XljnjxnX3xqA7PfRqOo2N1XmfRGyg7k3ZFmgSGf03H
2cwnmEAWt7zNYSbeeRiAeyabIl46pEjmlePfp6CPnqDJIRXqRtZ5BaFsH96xZxbxkM90N3gCWafJ
Ul+MsfGCOiWHUZrx47JPZ4o+QSwEaj9JHNx4VQFzNVdTVLs87JNwnjfDE9BSGHol1ghtnjKP+oOk
CZoj4/vpPFChCWShP2q1jomblTbAAzjHnS3SD1QLFs7bN2iC2sSJ2ipoUQ8poRndpKRfBgl8hJ9v
/Gcc2vb0zWOHQ2MrIUBWaJdVGsI0uTYI2CbSzBR9AlpcwojMj0ULmre+aAT5XS57f55Z0STGJuWo
Latm96ITVCFFWzZX9ClaqfCNCJ12KTtoGqPt6vV8xUwCbGK3pZ/WsHofy9A1IjGKMRTPVPsErSGh
ooCzI7A6QTdVRNJVAHSpeW5+S9J7vGMSeCOwiAJYXI4m81IuNVRerJ+XG6AJVvsGcz8dknZJG79T
vdMi5ZR+M092Z4LVLCxRXmDbLPMWZuldGN2YGEgUs6C0PSfyWDH1qJuyCDuzzJKQKEboF6ut0czF
Jzi1farxEFrNkld2vgC61qY2Yz1z8QlMq1r2MWTCZhkzGSoWR6kyGvGZq09wynFsBZEFY0wujXNc
w3jk1OdBOm9E5Uxw2huCcgIre6MD76NWYy4YXViNJeqZe2YCVVT1MjNl0HoDyXKgbOCSemWHmqt5
uwY93TVO5CNdAMHCC/w6PZBx7SzqJB7mJcPf6+NHWYHRfomDgRqvkfirE6OPNcEf5wk+RWo9xNkw
WI0XhdYJuMcvA+Ize4VbWu1jKMkIaBVOzhsv7kKxMCG9KBK/mGdQIOY+WTxPaktLYYxnRU3kpjE/
4qiy52327Qnux5LDWLgr615YQETor6PBuUQ0g1MQM2ZF9gSlIuoCC+L14MGydaNGVIdMDTUO5rle
e4LTNqAmTIhuPDglYn8mDfgBVUejMy/T2L4o/bFmTJUiO/UL42WFHhdFz7+FUenPVPsEpL6IKt5G
2nh00IObZSWInrw0ed1KuKM42L4x9rHkMmckKoEV6AEpXB6LOnCOU8svL+eZdRJPUYMaDW+zh+0Y
+kB7yrrPXEQzTTrB6EgKGfthYjxNW6wc0X9JK3E6R244/PhUK6QjfRdhWNuK6wtihmNK6pe4mzsV
TqZc96Lz/aDBQbO0gdTkWrF/FI32vP4AkROEOk5Z8tFCQO+25Yds4F+EHtJZroXICUStEPJ0XYBO
0jAHhl+x8rNwlieH46YTdZfdgHto4C+LsV3rDh0SOiuCki055fH2LgfasKKE2o5lwZEoei/X/qwx
K9m+B/vx0lHa9ED+BKHL7NPYGjfmf8zbfBNIpjLW5ZiAEUmYfNO9/ChGNstPwfmNpzKbqk36oWON
N9TAORuHBnmxwfVinuATROLc7/M4ko1XW0AlQHmylr78PGttMUFkkkY1hZdcWUsaQXZr2WwDFpkX
2KAmfKoW2NhVldoQksOI9YrWxFrAu+rbecARE1CKuuUNoa21rNi5LhYCutjzdDJBZBiEFalCoNkZ
AWSODtelcip2MW/xCSY7mHcNQ+7XSycs110Ks/0Kx828nTLldGlj7MRKYXGR0lNsyquIDHqmVia4
hNc9DnYlZL3UGT6lsHZv2rlrT6DpdBHHcJ4G2sYI20dGBPFBRXo2UysTdIY1aVPIZ2Gj0JGp0Y4/
pSyclWDBqy2fbvFeGtIlEpDf46GJXZv4rFggyICiea5lSuEquwyI8jFgKCDlxuraSxg+fJq1Fadk
rRZjWzMMejEmoIvKJJHC8HruWXkEvAPkqWZ02HLoR/cgeN+fmsI+6NtqJkL5BKHAhbcJD3ENXHp8
nALhcCngHSQzNT5BqAk0cC5N23h2mX4kFpBxdTgvSZmyqzS18iHAWe0hRJELBya065D4dp45JwAd
YKJQi6ypgc3AvgR1fxBxej5v6Qk+e934iUCW9gYnhQNyBa9WeRbPo2GQKbGqoF0uW+AKeTBCGhf5
WJxwXL/EMSCw3f6aiBM+AagpUZ2ETqe9Arg2qYLDetah1drD2SzNTClVnYXBKxIDFm2H6xoyuL4W
3+YtPYmeDQSesGRF7SUsOOvLct/Osnn7cEqkan2RsDgl2hvbKly2XYAWVppfzZN7As5oJH6t+6T2
ZFi6CRlOMvFS2rmF4A5jTilTHZD907bk2guzlhqlOYuPK1b2qouRGdx58m930qP+B03yPk8Kqr00
wl/TkFxaZXIxb+kJRHtgPKaM+xrw39brttaOcloyb1RH2ASlAQpppDECwYlzmbVWrohV/jFP8mkM
7asy0XZYexRFpFuO2MA5kVykYTIvSLMJTkkYBMKIFLZkb32MMnQRVfNqcTjQ99SgaUQrKJhhaX+Q
Hxs7+uBjNmsMBT3yydJi8LOqHbSH/Qx5lkDNRyfoollMXzLlRyHe2rSNYCf69jioQVceJjPZaTDg
eyp61sMZr74OtZe3pa3slq+qLpjXHYaj7E8XbzQxhkhQObjHQzi+dJjSfh6G6ASesgtSE8Nxa4/7
cICFj8Oh1NG8uRmZMp0k7BK7R4n2nKI9xU51pO1mptwTdOoIphOssyqvZuIycvTHNKnmFXF0Ak6/
J1kSlLH2GGhGSSChq2rIxDx/OGUjNXDK0ooLWcHcJqxcjZKPcJ5oXgo6pSLZNtRZObUrL4hwBieV
oVGxNLbF5ilmSkWKYwmstHgA3Mghc4Vh7CyN7HGeRadUpDamzAeuXQXnwTVynZqcQCSdNz2Ht0I8
RZCxclHQvoDtUkhiw/sRxJDUoRKyTeb1cLav638c54ALbMugz0H3QdhxN4fmmef7pJo3RyBTutGQ
GCN05peesOqkctuuzG6N5N3MopFMgqmTIZt00io9HQ71IgtYrEBDdDUr4E0JR3CMvxd2a5eeSRly
bQYkdvi/EM70j2SC2CYFBl6N89KrCQ/g1RMjSjbJ0OeBmif9JJr2kWa660E3RRgXKoJzun3qzIt5
U75Rioous7gBveeiXA+1Xa+6tAjXsyTfvmL18a5scQvv50i70ot9Ol7ahR+sCRdlMk8xeFKVYvCT
FA1gVpn7Vb3iBt6goqhfsGrmDSa4hWFcUuRlC5rHdbevtfgUVum83jyZUo54kiHgGOvS46Q5j4L6
Y5c05/P0PgmrgT90OE2DyuO5/JoXHbxUhJCXuLXbRXbk7VOiUQUtc2GZrPSwjsVXDkOFtUmyduaW
mUTWxrb6YcS08ACpUjGgvihrsPhynmImUNWDBTP6FFanLbwKhDrlQZK/xGL6XoXuUswEp1UEL0wp
BSq8lv0/zr6s11JbjfIXIYENBl5hD2efqebxBaUqiQ22wUw29q/vta/UUoq+udXitZSwOcb+Jq9B
8gYc275DsMnbTdZcl1w+aOPdh1XP6kZnGrHrIsAB/giKWz6+xcB/nj6UuWYQUGmX4aGTfcqqXLUY
xvNtLGJXhbQbp09uJNFax37s5R+DENFYQ7ykJackw6z9nJt1W08qwZSsZril3m7rGBXdlUDKJL01
Q+d8ncSYJnyNgOyF8grt5vxE8w3PdKpdwoWPpZjBtiNhvWhCtnCarab99y1P0+btkrKo+zEn2TiC
WU1Ke502/L0ns4Ts3MU2K+o+J4msGXQS1geeDBzaK0UPXlg8BvIB3mWusoRNN9POU7jGQ1n4i9PK
pic7pTw729ylGGErAbkiroweUM+Wpa+LqaU5SM7tlDxBhaQrb4omS3oNWG1XZxDCuIUQ6dept9Bf
SGNrA3R5piZ8UEk35MeqkD3aS2/pyuRKhyvLxICpT1QRTstj8WaP9KJp41FIKnMVTP/VpPJDk7cH
33sXKy1uYjZF8N7Z2lznUj02WXJsOEh2UTKzQKYkmCBd4aS1QW2ihMKASoaDa7KrbKaYUyZxaXfl
BCpMmxz/hjzUsaLvP4o3/5gOdKC32j6Ph+vqV/MKNlj7MNBFHwtlZFfTCNbGa0/YfOWTTJ9T1K9A
/q/Lt0OhjOwC5aS5tdbY4SoLvn6eijFgmN8Xy8Fl30XKsW8X0ETK4VpiqFxlpHsWgR9jmkHV7Ne6
IMYRztLCDFc/mEafhth1122M24Ndzh7mlfRtEiKKHcm4zrYzmfs1QMEnk+Pp0OLvoV6LHl0TiWW4
4qLqb2fSxyyajzE60mR3Us3qJjv6fLiKuASObJnzTdW07Mjfx959d1xtNgZqV2KuaixDUeXDSHHH
XhByDIsBLb9fv64zvUogTYUCIU7Sas1dd27b9mCBsMd7mdw1XeBI4bijmWogylhtIhdfjy3O7sy6
GFTprO0HsGqVemTUZkvFxokdw/end5HBf1bE0ALiADINCMP9mj+Knsbf0dP6Y6PgPdor36CMBy02
dGm+2W5N2qzXPF7yg5t+d2oJVWvZ3rNT12pezw4CKuui9bGAs4d8JVOyrRv65Gvke/qXANr8r6BX
fQz5me5BX9Cb7DvRSXOFX5eNbrLskzpunMt+c3f4L7w6iLP/+mXBbW0aBvGZa1AJnT4a2dqhbvKe
mJObh+gjCGevUVSq7oQqTpY1L9GMXkSUZcOxr7/Hh4EUzGLIkQ1X50dR1JHuIEChRW/U5dDh2APE
WEwDepZ7ZGqWpHnSLQfvzI9+ietjP3BvOf6Rj0O8TqDXkv4KryfoFG2uc2nVydQeLLDi3fFmc9BT
T/ADfiWALYf1C9D7P4+9/O5oq0X7pYRE19VM/VxvnP4dluzoi+/SMR9DMs8y11fUthdF5CMh87ER
QLw71jqKYu6gIHJdUgtJqijFVYML748sCqSMf/2ii1ATT5ztr806FedVEF7prD2WKiGi8+vTXd4O
fY8vem2nLfoBFSf6c4qQbo69++5Ez13aD2mf6Ctqrdfchic18t9oudw39P/bKtI9ToxvuGdk09Bf
542Ix0RNRcXbwR1KYnQPFXOStYWVVF+pLAaIkxbF+CjytReHjindA8bSchso62N9zbO+q8eyeJBp
4g/lAbqHjEEQlPOmbPtrmQr3PE86rfOls+/+9ze91yD/beF3h7R00luXIL+rkI4o+eOZl2cVJ8Nw
Zujq+kM1Ft1jyArPmoJRPlzjlS6QY8uW7n604nI4lItBdv915+uonUdbttibGfmwLvF7njTHtv0e
RQYli6WIJ7w7pmvZCVKrXRXWpD/2efcwsh6bMZJABZ4hFtq8tz4yH3qRHWMz0T2MTLV9ssZkVvcY
XLwzmmbXpc2KY4te7Cpng+lC3Ohe4TIcU4lhLN5FKW8PLsyual790vvVtwoIAUg41SAfjt+CKgd7
8Pm73ApBmqYxy6SuYcp/YHb0onPx5X8fqn+JZndH83+m7dTGuK0GQxCk1aHpqnFe7V+OjsekN4Ba
+vXxLdq3XjT3ZTdFg4HjXNw0y9aD232XWQfSrVuY8PINFxg7JcRUkFQ5mKH2kLKShdxnM+ZviVsS
f+pb4BEg79t39tDwBfK8vy5OYV1jUNmqayKYh5wiBDAH8PneH/qye1SZZy0mXG6MTjzh2/DYxUn8
SojJ1t+8/U7d/P+qAEHj4tfXZyklG2Mrtg5bM/1mTJJ+fWilHacLGrGVXKClx6AYnalteI48uoJn
k3ej/gYL5PSyMhJueRpBT7sMzQp1BR9J+Ub32UZqPY6+rQMXTfgxNL5dL71Bzq3XrNt+Up2mT9Z0
y6Nvhb3QZoWaY4AGhqhi3abho0jAb3kn7zoVH/u2MPMJDRskdmM9uVrEQH6+dkZE4YT/em5fKGkG
e6iQpHtAHHCNI7kTks+8SbpXW8rymbSEH0ywe8mxIZLZgOmovJIt/ouR8V2Z8LfHtssuxqDX9Dpi
Tl5pAM5WkfRGhvl3Qhr3KPtfUne+izLrGmke5k1eRwOtDqgVB+VOpQfq4eTQIfAbK5kS3479JbuY
k4wlvOhtJq+Ridg5lU5dglH807Gn72KO8M2KHpHKqx1ScYqa8GXpyO/W6Z4w/ts67UqDJObtKqdV
Xpla2w9AVadvCsG3P7YuiX4z2fyXn9gD5eKmzDkxozzPG5UM4t3jNLaVnTBsv7UOjLbfNNX/8sn3
uvSAJ/DVMsXPvF2kvKzZlgAdFqlzq0NBYGhw8NoJDh+/xiEuMDtpJoVF60kEoBv7gkB0MIGxXd0Q
QXAEg4BeXhNcxy3UXRaa/CZA/9uXuP/7PzrmnALLGcDBPUmI5C63Us3QnC9K3PszblV8CF1A2e5c
Z3g2a9s8gkwHhATBdedfyzE/Rm2Fv8qvf8Psy7Ft/dRd8zxbLsBcw4xCQNn/0FnbA+lsi1EkXRNx
bdMihYi/16eibI/1cWx3kGNmEqVy1ZwS2z7GDa3SgR1c890x9jRW87Dg0eHu+VGOF92SY/3hHkPn
obrWzqVsTrIlT3kWPY3s2BSP7jF0gBXehXDb5mQ6Nz5287xco4x+OPQp9xC6JsuF9TTCZk/4fDZm
SitfqvRy7Om7UxqXcmoyCNhf83Y2T0C9fhm5PyYOC/XgX/c4ZzmPLFnbq/JEXdZy6R/iUR2DotI9
jC7yG+5T9NRe264bT0YUz1E+zedj67I7nlsXj+tMoeO96LTdLoS4T2aS8thQEeZLv66MGMoFovd9
eert+CrVcO2m4VgS30PpvNg2rjkKKbVAyLxfe2jwq+w3kfdfmp49ks4CnR/A8MMhmu1QATVWGwZF
4UNrvofSBYj0zHYxLVhL2tc9N8NYNdPdB+fY83eDs1J7cC7gxgGi1RBIVahmeho22R7jQQLI+utH
XVnf9PlIy5N2AXe274AC+M2b/+ee57+UN3ssXcpCAnEqLq6Jj6h9iludgWDEIRz6EUpJw7XNykCr
fLQ6OzNM11w9LjKzkOM0zF/GtYzHczDw7/hD5xmx16agbX5oAg8/m1//7C0aE+huLPd2aVr4raVx
sZ7FLOG5cOy77RJx37YLDLREftomwRCgfLf2tchYQn8e+4HdYZ8WGNjYxqzndRDmrIvUnUyZHpo0
w83q1+VByQZfEqrXc3LX/XLZCKZ2mh/CV9M9Cs/kNp3hYbGe7QrtZjXDa2NQ5BjGj6a7bJyKFWz4
tV/PpEtMTWHcUGEi8ePQou9BeIMs4DxLm+VsCSwTiigCgWtL42N5bQ/C48CaxmlEl/MAZE01yIm/
qpwun4+9++6kp84YOJaNcAkrceuRysDPrc8OLswuJbeTSwZcxC5naFSSt73e5A8Wh/xYGbQH4AW4
zIzLaudz38MFDMrVUIRJm2OqJ5TujqqCE1OgRTaf23ybLlmzQF88giPWsWXfnVPqCA1KLvOZOi2A
uFo+gl69HXw4+fWcrm6EZFbu57PPk1DJWE51Lg/WKneXhH92LJlcWURHrHrQkGtxi/87nsQxLiE4
j78+PApGj42i65mDPXOCc4eoEY+PXd7DL/XXpwfQIJrWorDKDfkxa/pBC3KMXk330C+hMVIeTLqe
23iKq82Q5tw0gNH97+1yT0D/JWnuVb5UIkciB1pcWKMy+1asutUXz4iaLulkkAX/98/8S020R4I1
ljZp0uGPgBVwdLIk43W/rceQYHSv92VEky8Lw9M579tTARhYXQ7+z2OvvjuuskM4AJ5xOpvN+LrV
Y3eadXMs8e2RYKVJ40Vn2XS2crUXLQoCv6gyHMt8eySY15SxMLnpvIigLsksP4Wkyw5+0t1xDUKn
YcCs52wKkddabV0NSOox2D8sin89UX3u8yUvGnOOdDTV8DzrK2r8MeUmuoeBNWmqpqRj5twu493w
Td+90OZjqoJ0jwFbE4+RMwyvLl3Xw48oNtvnLu5/p1v/L0dpjwJrqHPJCrDyOZsS8FHuBYchye9m
hP/29F1ihcMNxtW+LC9phNG5jX4Oqv946CDt0V8Srq4N/DNgnTdTWFDZAHTiIrb567HH785pogY6
hHgqL5nRPQC43cbEMwzw+uLYWb07Bf0zP5m5WFHFm/JSwuuuK8mjig9WYnvwF4S4xsUTPBpmgOdw
x0P0xwCJdI/8ghlE24h8LC/hLn0kXZLWqSjcsYLgP5inf0wZuxgGfMEP6QkqXA/9ZN7G7JiaIN3D
vuDaiDJJ6/TEAH/o+ug57dt3h7bK/wP5goyQmGifnghbYWeYGgXetXB6/XTs+bvStzfJ2Kl1yC/p
kMAnNKRz+nin6v1OT/D+nP+StPd4rjaSJi1cwy7aRPMD3Cmtfp3zmPMzeKp5c+M6OPGyhOb/o7n+
D2P0v/3oroXNPWl6240Kbevm+q1OVKuIOUuJU6cuotlgXDnCCRIprKcjcvvW+anPb4MyTOgLGutO
6koFaf1NND5q/qDUAXbXx4C0yop2PjhXocgx47NkSWFe7Nw4WANvUZqPspqC4lFbxbRsKQzaltyg
EBoYPh0s5MaB/2EmodekSmXe6hsNEnLPJ4+GPucwmrNuqqWn3fYBEnLOtlUmYfEDmW/fbnNfJeUa
sbQqPaTh5UNiJIP0vcbMEoaf4BWoFS8450P/yRCNRqbLu+JvbTT+eVrH1J4Y4L4Unra9lbW1jrTX
4NcNrksypnP/x4Chbb5W25TEiauygnHxrW9TWf7UfIXRD4icYZh0BbWvzn+9g/TgUqv9VvUQjZpr
59o5kaccxMnmHHBlQ84RaWAT2BTYaWVtmfOZPhEbsvgpKSwrL222Bg1e2Dj4B7gE9HXOjGWwAVxh
XBm31NFa5GxEFVbo4lRoCOBW28jZ2AO/2Q2Cn5YS/X5eY0Ky8QFvNvbwSC0Iy8Ebse21SXOUjYgl
TK+P+FqDaKupQGVXlUmkYGqoe/J9XGC76XzY8p9rGzy9mGnIYAM7kYJ9FiPJ81e6NJQ+h0YUKz+p
AI5KeindmkARIbB8VS9gaBT4XqZtDV6Ox6Hk6yWGqjGqMRjoBvngGd3cj7HQ7QBnaIth8C0HAwk+
2Fu+zb5WfQonMV5EdxlItareRWCxBIC2oKCTr3Y9e3zLYbiRDIM0cmOyhxOeZLK8MCn6emCb0xOm
KT6a7b2ytDMsimd5dhNi1Csb+Np93DbC+wLbYSDrpaPZvNUDF3CCRq/h1Ql9jSi+FQvth6dyC2j8
RBav21Q5s2CYX5VFlhNUUMtCKa3LjNLuXSKLiV0gsCK3p564BFPteIG2WsA182I5uFuxn9kCJCeD
yFqs1h9EReDMTDZPzYc80wk8Sps5636g9ykUDo1OB3uau2yYX+Uac/YR8KxRXzqfgyZUDvGQPYYs
IvI5EU6GP9teDSsYM1M0pK8jDq0490Z4cjM66cYvItIFjFtDKjnLqlynpXmNl0UmP9KuaQpfNbzU
/OqctdljPLXp8LVzzGc1NO9jsNG5Q2UGaeeMqZ/N4jjMIOUoix8ZZaP5AnZ5EDVul5C7wPMY/AtQ
fXOB/3mI0p9DN9lw08R4/1GGOElqI3CS4LyJbf7AJQmvSxnzS0zGontTTGvOznHRGvF+lGILbx0I
HiTCTTR0A4rTXYmY3Wa39P3fEjc34qljI/XXYehUcx1JmUxP61jmpO5STK++FYyk5Z+Jk80rKOTR
I66Rwk9QW3TVuYyfOASCotPWhsI9wkPChgeIB9GvqmzT8mQUmI7vci9U/5rwpk1ubmhXf45G0W0P
pZ9ids3ZJuMvMWtk816MJTe18UsETcQuLmeQaDSDkZ8Ncza9zHFY4hs1zKhPMO5ohjdrVubiEgs5
5Kdl6yxip8uKSVyAn06ml7G07KeCJkAPG3a4B70RWzwhlIhhc2eWDcvETzFuq+yT7CBwfGn4akCv
iXLLP4piLtObNsawammiif0QouxMzftZLl1V9EkTw+gopdttVnpeTosjcXRa5p4kVa+CM9/oUuIN
TlnME8gZbniLNuIz7L+3aO7P/V2Sp4KgXZCvowMx7ZyZCWbzsXcM9mq8hy4nrCDYC8ol/leDI5zX
nbobRjPtsuGLH3HDAoEjrSF5BgvkENqbW8CS/ejhTzc1lRiXfEO8D8YNQ9UtSNOuwsTbzj/damn2
GRYcExKChFpN+V7hKfcPaZZ1OsPEETed594RDZd2a/rsqmAnLM/WcgojaJ4sRXhy28wxtdhgY1U+
xI1HjQgmmxC3GS5rURWmto0+sExO5CRSuM+e5tgm5Sn3IXSfpzjQ7sEuwZXXVQ+wDh0dafwzhVnO
2ziZu/YDJkfEy6pVaikvUI3ny2Mp0cG8eozEiksqW+S7pWmyETjvVGzPmsedhJnslCx1aqY8Am9h
mpvWgT0X5uT9EksNMkafLsvbdotz8jDgyrh7HaB018JF3Kcw0IGueDW6qUxuCS3n5U02j1H/B2m3
Qj0zRWfssV5oJf6kqgjYCRqSbfN54EVrL/jLtu6caZnOn5i0onmcedvRG0i0TL2sE4HB1xnhSLET
fJlo81eAVDI0zWfRZQ/z0HIObDMYWNgjBXSUHkW3ePNgOk2BGSbAEMfn2cD1sLKL78kH/Gbx2SZi
2b4riMaDk14SMaT1CPlFXkeIT029NWb70BG20IeiNOC6ZH0PsKq2UxHV3qwLLOWmwW0gkNg8qXGh
UIi3eN0se7M5z9uHqCcpbo7aRkbrR63D0D8CuisCqqI+bD+RNWbYW89tHCfv7jc1NK6pgC33S4B9
up4RiYNvbkWHTw+hWQZ3s2eHgDy+gfsF/NHjRZTLAxyjy+yeuTcBTQCOZZznCja5qoihV8fDyuux
dd6/o+WmygquaQW75KlGfKskdd30Jl6SYvwjTLOBQbxa7JbdfErj7TXF7hdfu3mDBQ3+SDo0byTG
Ye59IbGIj4F003bq6ZotD8j/keFYXKLt2YU8d/DslcsQ8DEnbi/WyUh/yhO/6LcWa2Yfxw6w0Ddw
NxZtnXZimL9uJifZN01yX+gKCmFxb7BSVPE/e2imxm+hWp+WfwwpK+X3UY2SoL+CICKtdUe6/EHn
y+xRv4m4YEM1RqtHKlQb0geqPUjGsiiz+WmGSMPggdHLox9QlfdpHSOpd7ewjvJjvmJ/n2XsFKvb
LWDmqvM+/ZIR4CJq6oumg7v5luZwRBzy9Qo73YzZim6xHl+NGAUoxwnkOy+m7NTwQrVxkaoYGFh/
dMO4bPDtbVP7JuljeLgH3LOWH9Oid+JiFZxy3o5E0K/FDJeX05w2GAUUbbSwV9+bJr/EU+fIG9w/
0f69kvkcnpKuHwcEzBRnA7B4ANWKq4SI6vTSaFWarS7SlL/1QL5E9cZabd/PwY0gRIP3SlwNGcNG
1nmZtOaNnDFjqoTmajxTD16tuoCilpyLhvb9aYobgi/RCpW8pKu5O7my+V78FIBWChjAFzYjJ72O
cbJWMmz+S1coqCZVQYO1+NGA3EY/85kNz1O/ouKqBe+iOumgCudrRHdb5Y7R5QtZIXvwwJkzyPf5
FqNMpyDwmqXyNI2WW4tXiN+tQw/bZpKx8SS9WPur3HDUv2Xx5OyF5FIlcCaZIHmWpC0tTlQBHlzN
NAmXEsnILdWUNd38ugI6Vfa1ZjpXz3Ju/JvC3w1QwxTo01wUMj4XcLDZkEZRcpymAAb+Z6dsxG+S
9dnycVVNYt/305rUuCMZyXevGmfrxon0AeUaXDMlWDQDJu3VtHXiQSwGwhopeNVItrQOYSlNNcAM
iZ2WKSYPHPXAFwc37SeYoOMeh5XdONciIYxDs9UQWLenHXssHPd/pmD/dC8ER0dfQzeH8mWMyPQ2
dpB4RQtEl2fOChJQOyXp9NZGBrDdZctrBhr5C+5zQNaGeSmFGjloyC9+KsinwcFFG6bQTFZab8uT
lap8wx0U9E8S27jOttXBQL1pH6DuUT6vjPtHnmzqu+e2+1BSNdVtzN6pbNKfsq7sy4rHZgbsZFVS
jtUWt6WbK45q1188rOr8A7OEf2bJZh6XzhflCduZ1TqsYbv0U5c9esAX008uKvIPXDkKWXay9Hn0
0MAy3cHWHju3AE3ei/jPdmn88inLGPOVbfVWAMqZWOdP7V0P4Kb8FiCbUkyJN3DWHceZoI9p6dCd
OLNJ9GiTFGxs0Epd/DiJpClf52ibl4sFzz/+HJgirC59apenNTUZ/47KVY/nbCEReTCtadPnbrMK
Zq+8t6pyiZmKz3RVJn4zUvi2nyHT4HtIEsxM3AYYl6tvkYCXcFdnvs3aUzx3YqnWrEUpWi5r3taT
Qo3iqoZG8Ee/+8qv7c+tyOj4bLfBhh8wpXIoh8RSZNjdCmcrM1UHwlB3hopOQ65Todru3Zag9z8P
fUr1ZckRd07oaHh+G+/wu/OYa0LfgFTTZU/Az9LklJRbVt4S0Ka2v1uAsfWbdV4KE9e+5FY8zuNM
Y1ZBUKTA9WjoiPLv0BrnBF0wIJvhaZ7VjLgg+twlL0bjSH6QaFbdN5nJ8pYOuCKjs3b5t2SmMvqu
ccGKNnkbMjguYggtauwOFEtVs1pE93lat5PVfCq+MHD6l8+FQ2z/Os9jSbpTlo8R8lXTZ5H9wFzo
Nl5FhOQUlvXNpOuyoYq8zqHY/N8p6P7qz6kFm+1cdLAtfO+V2EoIDmTD9BYez5nczr2Fuuu1bCMy
vGU4ZYiIMZ3GAuFJbDmGhaIHrfmho7FwD1QKGetTGiaUAJVijHHIwA/oP1DxdWPtrbnXIrBxWdy7
bpkm7q6l5HL6rOZosJehi5byNs/lmuGLhdJNp5GozX6XZQYuEhOynL8vTo72Yniso7qUa/LUjrxh
9YiL8OXZd13K8UnyFmTAGVP2ejJ2RFE6MsjJfF4DdLFBkB6b54GT8eqarXg/UuIXVAdZCOaNV0pV
E7xBK5DC+ErhL1Z0w8W7IvM1h53qegt0RoMmyjWv5sUNkamWdXHzuzxxufjbwtqkOAcZx+LE3D2v
wj4eHhMPDcrs5xbSXNh1NNH0sengz/pkuB++lAUW4USXJU1UFbeAPHyeVegiVKk+jq5bwL6+og5I
8scFKaD7wznaXtECJOW3ARLnuaizksfte2MzISAJnWjWrhU2WUbrAlHVo5uLQJwLuUja16Jzcagn
HPhPMsn0WTUt63HUmvVxiDHBeMG8gmZvi35j8tHZqfyBScxXlB4LYbBUYYCAD/CIIe97wpvv0LPo
2hPXCIptN8mXZYlRmQUIjLibygtRm+BhOAJaR/zQ5hNVL+NCZ/UyNev8tBozdH/AIHr5KxrlPJ+2
NcJnTLf8s1zT++WOLJDbt9R9ZqgllhMPI2p14JqWrVIu1xeQlUtWdcZx1Aa4qrQwuys2zGsRCWfM
d5bu1YFlAgfG4j7pAfF7+ixRjFUkAwL9hlF6OT/TsRijtzQHiA+goLzn9mYZ54vCR1l9PIPR3XTt
eYtp0eXnrmDtOz7CG/6cgL0y/r1ZIm0dCUyuvkOrAW64U1bM6bkXxBNszZZ8mFr0I1ffd3NFOgRQ
U9l1gosdJ6v4WWR6Jp+pW4WtvZ4TdDt5quxWdbZQ0be2TZofxb00eSg2sMw/eWb+WqRaUpS75Zig
mNWpXB9KeIIUdckm/deQ4chWBSw7atiCxOlZlWnxn+GfpAGL4Isz9C2bFK0MTNUvG8ld/tXwqAT/
uC0bTAajUkMZaTaQKDihKNHuMWPD8FOpDbJvmFyIrv8Mpbayq8kkHH3oltT/idaZh6dJkeYvLVQo
M/h/e0uetXDp+ClqYpb9lcAyI/sTraXAZKTj2XM5TBKxIxa+JjwZ3dupbHIDXgfullLOePy2jRjD
NBulR/yUOQiKXko7MXLalhDTs2V2tpXS6/YBmshJ+sVMpX0XRen8pWjy5BOwH0u4Dg1IQA/RgMZ4
U3qzZ5YWEPQNnTVfsObyqU8kYG2sgwE3NE7S4TaIshzrzPTaVSZq5FcwdbdqzEDeMiZ17GnaTPQ2
Z257YWUQxWVoIL1wVpnfriNsJa6JUfEthSczYl5P58+i5Jl/Y/gA9rC10PupsnFtlg9uhcTrdwiI
oDmbvUvFV4yGocvCrMc6ENd1CAslTeiAiiMH/7iIl09iYygSKUYJnKPK6LII8rB5iE4TYPDZOSs4
5iYO9urwKcmn0F6Jic1nyK938j0pBpDANzgwvG/xIhVtbWLWGmHbL66aMBujb4wUeVpTg9f5NAyN
Gy7d2HSiJmlu3I871vU29Errpy3Pg8JvyGh+L5PUqTeU5w4Fm2/ppShMNDwAQpm7dxhF92eEib6/
TFnWzScirEoAl4Mx7HlwMYII9DEe8S0wjmhMNhi02w6gZev98n6ORGfrPlsT9RhFVocr5MfCn1EG
26RKwRryiYdhw/FpCiyHdPFZlulaj+PiHumQoOAUbf/kjcjeA708giEAfUfMOSDUQNO8+RoFwMkv
BRgy/hPmTJtFIprj5M+lmDjJ4YEjA8YDs1pNf+txQ9F+F2GcdY0vBcJ7IQUqc0RMZXUtxsZAvxzi
ReULJNKKvC4d+z/UnVdz3Ei2579KRz9f9MJmIjfuTMQCKEOy6ETK9QuCFCl4m/Cffn+l7ju3xWmz
27EvGzMxMZLIKlQhkXnO3512vFgat/MPkhngjEaNJ+FngeERe7iflXN+CI18ShKmK3Z0TGw+RZRv
Ws0XA6YMFdjNMpQ8xvBdryNnZ3zR9oOZRBOJ2iZKzMp2rQ+NS4UWTbPq01C6k8DrM4i1+JAJYmoi
k7z57FMJoOEGVT2m6Xtz2dg9EsMQ1qWQVuWFlbJLO2pAw6awqSegrQAT1JJEOeZC89Ztu96/ZyBI
NgUrKdDtblxjrwlWe3OpYFRrDV+MnqkKgYfVQ90zy2aSh3RtZ/lF8KHmj5oCVZw8bZUydEtZ2Hdl
MpuEJrc0BWmmq+rdioG/2Nu5Nqs18DDbTwCYab0lNOoDkAOLeqEoZEZ73DFYW+n4Om3MbLuwXHOp
r1ULThuI1pnJS2/T/tX0nCy9sbe4RpcUm0V9HP3JsO/wTUrBM9U72wz/U6/tnvmNc79H6dZWIayK
Nz7Xc6UNBiRug39hlMApn8yyOt8hQeMTWb1qc8yoNGDVzQh+WIT4KwY9BmSxWPaVKWyP5tIbjPqY
obOYnmd7VTqKhYiHw8x+PUe917bFrnQcv4tsJtIMRdD11Zru6QZLdRW7xK8hvizP48GYltZEeZqp
5TIeTOmH+EQS5UUkMZg8UFlcwWdDhTbJpZgWZ6NmGVr3CEjQwNZ31HYBOKxVBBhGtzzqWAbl3l1G
q3uVmVeUBr2D5Q4O824JMfnaFlWJn6uAIRs4TCvqRDc0yl4dhN3a63JRWL7jfyAzuhpOM6390vLB
Mzd3qUEWp7n1ZFYuHw0+jTKC1BqcZtyf06xpSCd/m9yb8dxBX8VGUywUX+hlCZha4yS5XStL06z0
oyN4wN0CzEqGcC0e3aqpK1V/yVa6a7R9q6zM136YjI5iQHo0TM2At3FiWk3TX2rVjP6tx+aRUCr6
+fZSpLARP+f53BR7N3FrY+bbbZ2aWcyiz+5dyn2eZVtJ19u3lEbda9q63uwHg6VIa56lO/qPFvhc
xvgX8P/hWfXuWHxojbEx7poEwud+OjeqJBasfmmHcurINcY21/blRVrBe7FI3NbZ95LGR+yYozh2
VzgAE28ONzikhk4362UmI9MTg381tzBJJ6prX5woi1z9UJd50V/KxJmbC2NkMPvPjmnGZijONdt+
bCpjDEppz8apMUmnujdGPWbsccygCBWVcb1bx8rvbzI9YHSpPFNOj1uJpDH0TQ3JkzllTcRMnxjD
F1/oNn50Zs3mXzPfIJ+2S2NjfDclK7mG5cXcJs5KPcWI69CSyzAe16ZWzrEHZZ8PZSE28wOooudd
ZgVMYNiaFQKAHX5is/cj1uYGtnVG1Ix919v2GDqiyo2AZ+5atHp14Ro94jH2poW0uttnhgXfI2oo
njUoGbHmB2u3tF7Up9Jzj8Myqu3Yuoth1kS62fOowPQSZqU1o7Lyk2f1Wn/wNKnqrzJxx+pEYZvJ
femlo3qYZ6iZqEz8PMGdiCDtLqvrUlzFSVkXD7PPF3O12n6hL82RkTrXE9dqM9F83by7fJRVcrnk
vSre0+hl8RSaI9VyF+WNXwFbu2S0ZWY48jC3Rkj2h1jbCB5Q+mpfIAc8RxjLzyQYmtoKlSIAs9pV
UEF6vKAA6/liB5m3/R3ndA3wjBgHKo3aTa0PDl875irlpcX2HvYkXvYTT/JebZs80UQL48o2YkVh
J0zS6+wzjefbBzMXoj0Uuey801Y2OK8te22Gz3M2KkIripHokP2QtMuaBtYsPAnHaSO6MjvtT6EA
2NA/V5Pr23cNsQva3p+jXi0wjcVjuLvfb2rKQ1XNcxGtVX+eKDdoceP1sVtfMOpnm49d3Y5OlExr
W59sTU4NEKkJ39qsvRz3GSC+FRjasow9HOWQRaWfKNrOttMtFZJTZc7TIpkifxVvSb68I5LBHcDe
07jfXpzac5LntmjM8sJ0sDpemKC+3TWpAf3wWBJJTW1Te+5yslxDr1/Xzsvb07omhgbgW2w/3BTl
SAC+PMKtZFoj9usG93o0Kz2Hw8rg0IueS8ijcbPtIkQbL+DMXfcsr538vULZfFNOTAZ+b85Foq/7
YbPqS8nYu+18t2WM10ENK5PhtXTzZ2A+w4lyzzdaTVgr/Uyoa1Z7taOyLjgg2UjPbf7ct/OtMvrJ
CVfDsHoeFr/rsUu03vkbVC1wFZVE76lbLafSIG4gk9nLeD4fX+RIfAJeci+56Bq1WoHJflc+OH1v
Dzx7iVd1Q9D6Glc1EBODomRqZmaEeNBAXuMkXXxjp3KY92yjZCFOZZ1Nr0O+tMup2WTlfeyXUbg0
L10+Xq6r3JaPvqza6fac4egcdTXGQUXYTRdQjSZnsLxdJs5cCMw7f12VvNQpToMbiJIKwzu18Qa0
1RWgVh6DK11veMK42vkBxiJ73i2iLUDt+i59h0zCoiKaGMr8LkfZyLnIjA2yG9Xkx+qDbE2F0rw2
4bOmQx33XTMEGX4/N2h8dAROCPfdj68ASQngLYCNOTyBVmyZEYiB8jUPPHbZAQyxbHB7BITU03fu
F+yhDAeqF1ekn3FYr2MfjDNDbLpDNQ1elodzR344dagpFs+KeidFyhH9h+4H4nkNzz/AVDlDaKII
0oHhD10cEpTsvHf4beNqmtOkvVDpGftNaL+X9rxnuvFtY+t+B1qwjYisjdi4+I94XMxl1W55JKh7
WSJT5M0YbGvq3UJY1WMkYszff0/B9Hb4nFjdumpqXe5M9Sl3H8X098T1bwOFvNKZoGt4XSd75wNa
ZN7ftNC8HTrXkNao4kzKPcekCYikJvNas1vrv/Dw/kFgFVls3wvdgMLsAUUazITB89elTTZcVbPR
kIGo+xbAyZ5yxgJI1dl3iwa6pcHKDTNsjIX79OcSqrPe8PfURm/0nwkUzZIZvdw3TDMtowxTyzXi
wS6kXoN+hIvz/yJp4PfFVCRRfv9p+06z1BxH7AkE6OTDsDbxGLUJdW40czKRTkr8Q0lVuqz1X3zD
vy+ytN+mE+XowzhNbG8vfGZyDMTO7Dqw5r/4QH/06m/UZy0T/bRMlYdypHoueuvD7LfxX8jF/+i1
38hDKdO7qk1ib78y9iNI+/UiG0vnb774G4XZYFlD3YzC24NB7yBSsyC2QB7/fEH90ZWf//43SsV4
mbLBU5nYJ6ahOdOnOLBSTv+/9+pvtKF20Tqog/he7K0im3dQTJncmoc/f/E/WqH295cuequa2yVn
uaRS2S8aTGkOTbHazBXy7aoN2hE19hGTk9f+rfF86Fu+f8vUT2ZJZou3Zxyq99Hten2TW8Crf/6B
vkl+//3ptt+GFMl8dYCFEndf+SoFgVb1OkOu8J/X1RrEB5fKm7+pXasWh6zNH/Mte7RYad4x1tmY
0qsk6Y7pjC/L5DC6ORgkJdkvV/c/viz/M3lt7n65Dv3P/+TPX5qWZj9Jhzd//OdjU/Hf/zz/zr9+
5vvf+Ofhtbl5ql712x/67nd43V/fN3oanr77w466fFjvx9d+ffeqx3L49vpc4fkn/0//8YfXb6/y
uLav//jx6aXK6oimp8++DD/++k8XL//40Xa9c2rWv0bKnt/h138+f4R//Hj7gsr96Xd+5fVJD//4
0Zc/ucI0XdcXpk+o2jnsf3799i/WT67JfzzLhHwwIep//KFm6GnKm9o/edLzlBLSdNE3ngWluhnP
/2TJn3xU34Lfoel0HPzm//Xhv7s9/327fqjH6q7J6kH/40f5zVT/38tJusL3fFp1Wg7y3E3xVkbN
hLCO3oqk6rZsOiNsKq+soWgN8zqVPetFarUfiVzYqcpLq51dVvGJVV3u43LpkDvl1i6G8Y+jycmg
cOM2GQPbHlBu+vHMPCK7RnC1wFXLQDXDskuGwbfCOpv7S9Zr92njkI/AdUoMnmV6rIq8P44UT7tJ
j+mx65L6NnMJdQ+6ZJhU5Dnu2IdVYU9p0KwuQTO22/f1he2X7lW2ZLEKxhZBOPk1xjVyDshWHFcZ
igC1GK8x9R+4wWyp50z1fmias3/deHl2SYdowtsVW3OCWBQftenby85irg+9UEuqcdBn/QTQ4iC5
nPI6/4AO6vO8mdl11meP9Bxb6CXVdOHlon86s3dXrk1hGveDeBCbW16bWW4flsnQO1LM0yBb6/SC
xC5wl8m8GIyesfJNve0UX90O3W8aGh3aK7NO53ekLA5hofxr5omWVzbNEBxX8WKTKRaMosnexb6X
X9SgzjtPTuvPy9aIU+pt5sZMP6PGjoeGqEQK5DiXRZPRrGtEmGy3yBcWjJ2ef2UMSdYGfGluFpSl
BdDfLnNeoZOU/nsr2cw7eLTlHfhNqS58qh1CzXO0N4WzrH3gV7Z+aiQWwIt5asYrGBS7D0w047f0
v8gyKojDCXFwLlswDWQsCItb8ngNIJUS8Uei7vSU2BDVg3RheagwL/Wi8zBuS3zgZux3gMQYrbK9
cLUDNF7kN7TH9k02GfnPBhG8+1jP9aHODYDLppzKd8Bj/vt20EDig7+gaqim28GSJbdSTXoNXCjk
IbAJCH7wLaZBBLRz9sfRm8WHprUIJmqh6e4VErZbpItTFdG8NsfRk+WxUlg1Q8Rv68fBtJPnjlL/
Xmeps3OYWtvt8oxW8jTzkab9SHr3zlvLPg5rIbJ3ZAf6dPOFeaQpWvaVh+4ujIupOXatbK5RVw77
ZHqwGWIceog4pJF+aOYOaSxpezcQjt2FpWX+eZHdeAdhO4Wem3aczvXtsFg3zrpaUUEK1z3Z5841
E2r4ylDxhpyI3bUqPZIMS89DCDeuS3qY+x5V21obCNBapDPbbmQa7BYa7eJFrmHOrzKPPw8IGk55
59TXc6eWi6SFmYBgl90RoMQ9NStxVvWmfYoEDCu3JFUYfVBPcX01UpDGe3u2Mhn2JOXf11mpP1hF
n0JDpKW81uhEPy02HQWQagsCKv1GXHktDc0FungAkBqJdbYzJ8dff3bJk3IetN/Nkfbq5qVUcyOS
s3pHtCefta96JpKOmfXRSAgsuEhz6WE8SSYfosFxC/OLI+JYneqGni7yVifjVqA6DOZR+tVlZvDy
oWlN6/vUN63II5L3o2UzReiSir47QC8UeYiwYMz32cg2HbBFm8VOemP5McuW+TCq3vAYdik+oH2d
T5Yz6BsClev3JcyHHyZowZFelIv5IiV5r3qJ4UNt8MgpNeL9NOSxQF+/Obe4INbnWsfWZ/q5MpT9
4B0ZXDCxw7bJ3s+H9nHOAFzC0tzgncLS7ZqXZBqa+80V8WsOqnEs5Li9MO1k2tW2yQtbKGcT8ObN
XQ7kuHj6EUTNRZAutZ+g5Wr85d0Khz7tpNYLuriOH71IcrQQA2OM512Wg4gdY3sh7qQamTNwXVfY
Ny+q0RkrfIrZPAYWROAjsIxdBU56BpRdV5DLpH23FwfU4skUoogtrhevMTheEgTuVjrV51hE+uo2
JsdcNVtIuiO3skxuS12Vpx4uJjTcZVkC6OQN9oYFWM26vcRKTus8KjEf1mWpruHT5/eEoianoVHi
bCSx259HFFAiJGeDOZsaqNqL5NghLTIMf9sj/HAUZjyi0I5FAuofxlm1fjHdLkc/U6zqOe0MZMpt
ns110MqURIQVThwoXG6OvYOrWNfQzTx3DYq0Kd9pKbW9Az+X6VUsnDSLBHNEFSdYU2e3sjH7K3zG
4LdY9FwwVNudr0u3QUbhCZ4CbVRXzVpmxzlWvgqMfFlCmnn0AXM6vJOE3u912ZtP3bC9cyfpOwGS
5/HBXApwOwAsw4yGvGeYcFVPEtJ5K8RTn6xmiXRpER/70RtV6Io2T45QAVO6GzuxiUCnAIPs2Tlw
xDqvrwnJEO89a5gfBnWmpLC4DQ/CMdUVzS5iXcN231m6cz8aWlVXbNjupfaMJvByxNDzvF5vpMks
4SjSOfC94rSp7ZJZc2oOYIC2l6pEwMWB464AyBsy0ZsshW8JK24lDXRX9ete97NRH9zSdb5SOK0o
CQ10ofdOYqbvvRSwgFc3/asC0UNyQMDkvM+XnP1OmmJoL4G4hn7Xg2ndGpgi4oDMGPWxLVV1tOoc
bLlwzc45eoY1xWEMK7hEMNOAO1XVF15E0AQ3GkYjr271MqXDzp90+bmLC/O2R6+yovIZxRT201pT
QyjAGVOW42eYFYRCNnxsk8QgS0ni6Qe9ucaT7xPYEnqjltluTBI2GrNK3TAt7XOPXrok9lV9dxmn
hqmPojXR0kIu6lddpqbDGKc5IcvJV648NuRbnn0TDvoP3+gylHFmyoZNnIehw3yo5msUg+0GkTeI
OUiYzfJC2+OhcKynBpStc9rQnbsvRCWUx7bb8Jq404ZOfIlR86Lk8nTIybTtyErJqRxyM/mMjb0/
eWY+fTSyEtQLsji/nqzmvY/F3UZ2lSXWThI7dVX1Ot/l1ZSPUVrVL6Zrxxxlcf9pq3GM9F3BPZ9G
Md4sRUvXl5rVEMTwQOwpeYPoVvjFumfISXeXZyh4AyMeDAuhZp6iZ+668fO3TDYkdcqy9gB286c1
rewyKDB2JjvDd5Mrw/WT97iJ0le6B4dHGpFcAw/QbFYIZMfSI82miza0aB278qhtkjZdEUrLESqK
AV7DaRzjD1PXoyFyGAbYi8EOWvB7NOLrtgNaO1CQHjH0C1SG2Fb3LuoMWJQNe0mxDM2l489NMFe1
uzPBeNMoqwr9cc5Qv7vJsISc++wnBavyMvGd+Dgwn+XUTMn8iPNkxtbCMAfHcpfPqhNlGere7J6T
vvKR2KSp82WpMGzG0y7GTPY5jcXrlMVnCaOZ0NXaE5w00VQQp6uPvWhsRMMIM5JqgiJLt8MKmox9
AqnlJ8vlNPqI6cmogm1xvDsHfvpiy3Te75y+LLtjwpQfouLUaHdstHXx3CYemZ4bGwRwT4OaQfip
ASnQqPbYc1yQtwrivmRl+65R2fwhHpYu8ObSng8aznQ00vpqsmUKeD3kKdoMXfkLSonaqXBvqfnR
L8q6RyPBRTuMdnqWFkWCnRWuF1VTYbz2rlFRddqC1178/p4dyLTD0XTajkXQ6DuzndXJNa3EiNDA
qbsir/sH08JDcIhFUYKCr3X3M94EgtF1m9dWRIG2fvb9pf0yJpKnQw51p6548CgMszptnpQY9aNn
Tc5pdB37rlos/R4KtGh3TgvtFjiJWDlnE7w6U2aogwtXfWT1IGiuQHBf3GFVoIFbpq6EA13EVitx
aOf9jAbYXJ16inI9MAGH/NdjWVYuAj4tk0+2RG65slRgk8eSGzgwVWUIKdmsJ4U++hI+Orme7apB
GumfS7BpYLZIWeG/pzhwyFGjJtSEKq36RAJnvwUdnAu2Cjs21SGt3eqVTSJ/yudZXqOTz51oXbp6
x3dmNpC12RJOg8U40yWrYS0wOyP/yacrHlY3xBhohFPrWJeWky2B7xQop71x3rGr1lEqCSuNMqkA
2i2RO0gatzV5nyelekkwEXDTU1E8L6OXn/rWU3YgkXBVwaR769kZszbCIIDIxSjsfbvSN85u3e4a
e7nqYwwd3VbkO+WkCE/yrb5rGHprh2iSkadqjEMBCrOLuWc+HbRK96RKUwL3j97PWZFuz0vZMfW4
9dfkelV1/tzaTR1tS5k84G8tPtlxZT5kzP1kkiZnyM3UtvF8sK1aD6GQ9lCEPFgmFJmJ3WDAxH9l
81jslmoezvzEcYbQCOv6AVtOaQcpn/teMd4rbNzWmaJRKnm1JshowhF1xwedOulx2Sguol6USD/7
WqcvwmG6m9/EPvPZSauvkSske6+q06uEcPw7YcXpRckNeFTeVD6wX3SnxOFjUBlB9E/Q3cEwc+Cu
2zo9QglfCm5oTPv1Webstotyk4cOU8Jv4I9fMYbvMAVwru8QBSUUMelSKNNUUrzNs/QdvliHCVYH
cNT8vp234Qam04q2GhVjRr4iyY3LX+UGnDO2vn9TaeLygy/1+fatt3PU7MzC5ymL5QBlUp6oMoa7
BOlS5Jh5+thuPYTiup7tanP3+ucf93u0HQBFUU5Q6puOdKVi4uT3sF/rebPEt7UdOh/hSeCjvgmW
BtYVMQyahlLF9cu3d/x/DbJdZ1/6Rjdfh7co23fA3P9HUBzuC8s6D7P8YzDuf9UvT9VT/cNT/fLD
TfaleX7qf8A2xx/1bxG6f73SLxidcn5S8HeKZC/uooWd6L8wOmX/ZJvCEdJVdGae9AF1f8XoLOcn
/gbuQyDxlyZxEf/C6MRPyA1YGL60PNvkJ6z/G4zuWzrFb9Y2wKHF4jbJITCVidH5DbCMwhtFe7Yw
23uuUCh61XPd+sXOoc0IYLvbfbOVXweRtZDWxXNjEbWgGsMKu8kM1qzBY+3XCI+W2cOPkX2YMOOG
v/mSf+eRf0N7yfMlAm6a5PhKvhHvLfbtTLFn0vj1B7+KqddounYwQ/RJqTpNXffkOsuN0GOkE4Cj
QnT5X6Hi56fszXfEBbiOsvmqJLvP90+hXVitP6O3JHicC3C2ZQrPMBMCx3iXdi3FQRzHVC/D5Zh2
Y5BbXMeffwdnpuXtFQgf5s/1TLqOt9uedjO7L6sSXdpIurSy5OOY0tR09V8F05zJtX9/I8HbnPcb
++2gTrHFesBx1TFVCdBo4CjYy6H91HQVMRvUGCHzEpqwO6tZp3lWoYzN+mQs9r1XW/UJlaQBSuXE
T2jl5l2/2OY7EtgmKl+qAeT2/cVYN+sB33OxMxDTUFBh8fIEApIeoylxTcm2j0f7rjPwbKYxX+Ta
ic861hd4Yv3Izbr4MqkNH/9Bux60t+Gpid9vEIN4qrbHxvI9hGfzcrPo4quFa3Wnp/K5/qa+YTzj
5qvXKa3eOZv8+Od36M0ZwSLlkUDVTJ1HG+f65zv4GzpLbrVZJlnH1CKHIxVu8jOWa1So/RDGto3v
LqVJl92k9n/+vvb5Af3+jrlgxoh5pGN/20a+f+OqVbLVitx6X6flzh/K/EJi+TzaSOmixEH8nskN
1WVv0zutPNA1ZTJesJobWhJcUKbJfgQ0CXF5sKQtu4gQSvsMTZjXA4bNIfSV7SIrwWK5+4trt//9
2gmOkHjpTeT08t8iRVADIUYmEl9Zdh11CDSvkrQgtW/C6ot+eVfIAREwYYE37eJfTA7e7CK5HBFn
BnElLn7ZgNxl33gnIQUlosZcoQw+tMTVE+CEzUL0il/+/Lr//V67KFtt4VEeK899O/hksDOUPhOX
PRv9GYJiU/AJpf3li+5Fq8JuHBSQUmn/1fP5O1+Y7dpKIGm3THzj39/s0a5ihGeMhojRiNBEKj9Q
2aCjP/98nEhvl5RwbEv5EEdohMWbqqPGCegYXVmisJX1QdJTX/Zx+vznb+J/K17erFzh4tHHKWRB
Ur0NaWuqXkoElOWhscuvsSTUG7OjAmZC1Y5TgYdcGTNny4RRtLa24hL66KuVuNt9u+FfRmrMubOq
0HInIDY0LTtcBeaxRBOxxypvgwkbWejU/qMhDLwqQt7YEAoXAIl+VCxjHkxWqfYGit5dVpr2jtHf
B3Nhf/MsphKQc4ChK+PHGG9tnUzJpeVjafJ48PtorhEIbsYCwMT/65bFOOYJwRytneEDZ5A4Zp7W
3du2/rAMdE42uHYQD2Q/bNmzlzv3VbvFl3GbYxR28q+9PTZHWCmFbqo+GotC0CdMtS+b7GufxMiT
G/bczpF09RPDO32L9V0nmp6kLZ/FxBok9uF9t7UbHlf1mLI4MFcXXLcDLq5oGtLJ3jn28Ik2Q4Xz
efdeV0ADwHgduAaayWWpbRLVebNS5e6TZa5sy/g8o3LOnnWyYPHsOjtMRNmFme39XPcoJiFO7Hf4
jCkeso2DeBPGTpb5V8h8HUzJ4EcV9FgANfeOlPhXUXB6MvP4lBBDQQPIxj2P6NoLDpAoR2USVr3x
SWJojNy4V6FKcZZ6QBjh6Op0z16GDdXLnh2X20ETn4WG5gQuV8Dgyq1OXtk+5JZ6RERf8Rj2Q1TE
fnqg+HE4WBhUWzrcmlr370S2mUHVjrcUGAfcOc+9idMb2urMHJV6p84xK9XKZtl3uQh9ZsB1Xfm1
RorIoMHpqhumq60qvpaMbj4siFaihHlLQMCkEczONblg5N7Xkx/ZprxhlCDZYLBGiEbdIrLRGEdx
yzqnATN2a0N9Bb7UYmYrvhqJwYrlzjKX96tHwlVYmJ33YSqgUerEr2ElKyxNcfK1QcyJz5/dGgWi
Hxlpc1qkzgMsbbjYt+rZaaryFn0qEt7J8B80idZbnj6DtDbHdAUrFrF8NAdwp57y9CTykdrqfGOo
DG606HFoWxwe39buOrNszJY+WsclUr40e/ZjakYvce4dv1SHYS2fcU8wD54Vbg08Gt8Wbn/OH4jr
ZS8XBMLAqQeUro+topBJO7P45RGoWGGW5dzDoesI8zgr0m2363rhZo3ZudoweL2majGVpqwggkqw
Gps8LuAjJqTwlJ5m0zB21hxnYeuzaJshe/524VwuVcxYb/vc4ExTis9tg5R+HHHV7RnJxH7dLjxq
Mm2vG9w5u4zEoFCugGlbJy8ssXBNFekk2YAxCf/pqZlJtsmLON8vQ0xLzAYGNs6GJT1+h8/B0i1+
ucGV6d3bZfcJE48fiCX/2gmuOu7y52/bxSiLrwNTukBW2AnqPOENNKDfQJxE2Io1D8iJgIOY+RJp
BqiHNuopqmQZTJ519M/zXsvGL6KiY1dioyp2Yms/eXZz+nY6kbnCWGYwkb1nufGlLfKvqxnHdzb+
w4oiCfqW1HoSNtq9t+B9WtVLXbKZODYrFyW1DrTO3pMOz5Zn8LoTe20hGr6QxTv0snweqK/O2xnC
RLa8Utx825RgOjGfD/pTvnBt2Shu7EZsx6707ul3GAOH/xVkL38mDi0PfQaUByVIzy/dRHouWETm
QOFw7IhG3nz7hPNafD0/El3m3Z+PAins+6Hlwr7dg9ZWNxkjcGC1Y4DI+eQnuRda9XnZ1CjBYxtP
YgPUZ+audfL6nGCZpNz1G0uF0cXrLzud77KZkC/52KweO6rYjB27yXyLOXPYLQbPL04uezcbG7/l
u8axxNB+OZzvzmKw8jw4/i3B/Ysijr8Chbr8thNny7kQE0kZzYBQPMGUWevmP8oSgDzgNwRX4i97
vfCvvuYGjNnYIk4et71RVNlNo8wi8r2W40ezI7CGefnzueIUXBRznHhUhXdv9fFuTYv14DBAPChW
vsjzCls2fhJdzr3HTrOf8KwEBE7gXlJsPOSB6QBAHXx54tY4ioLifHcBaT9lNU+4JBkqpAuqMaDx
gt1EV/Bt/y3Pu2PcpVDjheVg7msgmgEad+czrle8QZKyqr2RB0huxUkIrto+w9xI7sjPOpfDY5aX
u3HG4mnE5foen1JzlBgxIPgoriCenr+tlXqonnM//Uqax2Ns5isHRo8ge+KrPp82sFkcjAOPAKII
+D/JoHMBXo0AAoTMHfoigEEc0W/U3Z4JgWDXiOZvZkjXyCPkOnQ9iRWtAx1tGw68dehu2CW7q8xN
hwt3Rv6sPZRki5MuEeFCKOvH2d81jYqjHO120GArwUVOiNSxb7fkmTEl6HWB2LP9hME3GMizPJAD
RKmxZF+brvlESvywX+isvjCHe3twyry9Mmugs6QdHnDoJwf6nCxCqW59QsiDqbBaAU6lk0XpaMWR
42zmkRiJvbfRJk1Nci4N2gkOxEvlnTXixZvxyELFxAYroWsu/HMDV6DcBNzsbxwrdffSXaxLUyXP
o1EuUS5t/DgFOR/2vOk9drftaut5nHDIPPvnNg9YuYhw+/I/Prp18KkUgygQJkobQNw6z8L5HAPN
kAMzRBBD6lyZuNQoOGjTquDkXfnGJrt/JcbV2A0TZnqrq0uSedphZ0v3AuspwUwVip6x3QKMEDNu
CGarFb6jD0gn8jDL3Zi3z3mxgRdzrZHX3mqcyZb1v5l7sx23kSxa+1XOC7ARDM63IkVKSuXkHJz2
DWG7nJznmU9/PmbXD9hKw4m++XEuqtGAqyyRIiN27L3WtwafEeQpr8avEQawn1nfIvtp7NCb5hCj
iTR/EEu8T6PlxzBTPCtqzKLFSMytyGHcKU2fuzwNTIIy1I6mikcIz6YUnOEScycT7aCQTetqHUbA
MdLpAJp3ypS5SssC0InBj5C17e2I3zSKr5WpvcJeUPEQTk+qmE60X+2dnaAQdBzlZ23y8FmTzPZy
ViXEHeWb0bPqpo2qYc/T76MsBbzSinOraJlXRiyZxFlhIkjIB2qSWHjdXPDWbiefNQMKJVaWpWRI
XtW5cvw4pn5SQ1aaqoyXJ63XsYxYcnWnnB1IL83wlYieypWqnT+XDWYHfRUvo2SpUNTupQTPjGip
aX9EK+puduJhv5pWH2QVRXA8N6s/ZRsbhzNctksVXKxv67iuZGc6o69NxOIgVAPg+FiBT6pb/qvt
RG9gpfMsjdcUJwJpXUK91xi0YLdMMrcteG4BvCFzjphzTNN3ZxygrZTjfWzzxIQOwxmlHFk02Qq2
7zna4l6l+xB0psqxkN1651BmEyTzHcvni8gGamRD3HdQj3a423hCISaeVDWudomw0BZb0V2ZT+d6
Ub9ygGx8MRrtVSdk+zQo2ZeUPQ0LadBgsTtNLYsa3tnsGhe8wtSWTb9zeqrrbTld+2K9zgZ2vNHu
sf0Z9qOWMNJaijMFxny3AhinCtSu65a6RlGds5omJudG5m69nFBHzcWDg/sAvPzq9+jh2g0BAR0o
je8EWKYvieDel5TJezWzjrnOE8b8TDkMil1RYHFPGfxxn3XLfq60skWGkEyPRaMw2ml53OTWvEqi
xZ2yLGbKwLoWIpjYZ008E3qsyQEayrZIF5xWxrGm9u76lYulxpQredVlQmxg1VaHPFKDUAzdUXXS
11KJX/HyvbQt+1BXGjcAuIT3tqP3M4ewrdxptmc14jG5wXvIKY+agMO13KfaouxBSto7fdszy6UC
77GdWtaZBpHFWM0bovalKth6xmmYbiO8zvjCBD92uYXh4hU9LXQmd47I59vM7LNPzTAmbiHUvYKP
151RXxPFi5zibZdr+6o8J6NGGcUA04tsRz2jdmPVlzzDc6ytXwuG30AsZodxDH+B7QwGnEH4ToPC
0+QsYfgtnzr+lrZ4FasQ34twLM85u97b0895c4+nKjlxWH2lCcFV5eYn+AGB6cj7MmKb7EJ2rrRW
fm6NKkNfUTtFznhtNPwiS7btgRHPJ/DC0e2ooVgUovq+dcqCzcypgdUoWORFfLMkLGM0I7N9sc3y
MqM/KQPDdkZKOMrWda83fPyCvwlUHgUWBv7bvB0BqOhkDCjxpHpOzDbM084WN/ATjaV+/7b3ojro
eJLCx78f/H9XTW/tXN00haVahH6SMHSZTT3IQdRxRfScvt2m7Uil91y01c39vjX0+yTi+fv7Rxp/
6miYtimFKvlEcRlPNqYjtLx0ISSu5JyLbwHPTd+/NDV9yFQUq78qasaN48HCF736AOxwlGb1s9F8
tpv6EVIh88GYs/VW2QyWUPamZT1mY3Qn5Ly6WgEtR+YtmgT0WIj7xjuzwO4l7Z6au4+e3nqnb8cy
S5VAdIr41Zx75HW9CVZyLb1J6dWzxBN9Muu5OM+KSg05bnUwIlm31zZSDbZmjvR4V5DhQKPazn2D
qtmfBvufVCEXpgTXAttgKzzjpNqZHLM9I7JD/LTq/L935RlCaMwmCCunEXE5FEtzJDXR28y74xhr
WxMYuYEmiAmt0iwy45lwOdZ6RgduNvCGq6A0PvhZ/9CHsx3mJ6YO5G4bYPzeDdNISzYSmQ1BanX6
rpNrfACoxcZnNjraB6jzsTkKd8wT7YMO2Zty+aJ3RccAxTUiaV3Svvr9o1lM1CHJcB5Crhp3OCEt
L0Xv9imZUFnpa40sTKTwcMVK/KyR3lUE4D04NawObVZf/v50v+/ZI9eWhqUznhCEaV58F63sBcfN
cAi6ULP3eQOFo4n4fxC4H+euHbEtKpNXTm1+SKKxOPz90//wajEn4As4CL23Udbvd6LgCrUeiScj
SoqxjIaOS3rnR2D4PywadJlBjSEo/8OYit1UGkzJsN7DdXMHYpe8Np2/Kkt3A+Hiy9LnyUcP+J8u
DAU8T5HzNoC9uDDwuhFlSdEHwBG7q7CnYZ70envk/aSVM9mPMdvnrhZ0zwCHfS/mfAnGWa0R/zSD
m4/JP2v+/Pd7fTEO3pbObY5oGoInjybwxZChxiOfOKLmgc/SrxWuzJ//LX6zlBoPyfwHZpMLO8i2
VKMbtSys+xLpFwfz33/bQVqKGZZZF9iJddNKSfSXYpT7KtQTV1A179TR/Kbn6RPe6yMKiKc2MRWw
YNP1ILN/ehuD5Wok60eZTRof+/vLZyDXMJDj8+Sp5ttI5JdZi4aQZomsqAsKmLGulVM8mw3v/SBK
tkwpj0PVnGOaZJ+J9K79ruInggJGS1epXlQcjDsyGEBJ1VLuyKVfKDK0m0nt212fpj/M7mD0YvZW
nRKkt45ap91LapwhwmEFHjpF2hTtY4tOjYVFzUUt5+Xb1DFDHoXCJk9dvSDJpNO2s7UQqNfCsnBF
iAZq3FpZ29jubZdJweMf//6EyPf3ZpskGzpzZQe5wuU811HHmTgbUQdEs8/gzJoItVEEy2Qq6ItZ
DeKeWAPJRkTcrh9H8XaZtFahZjQVBaFFqzZk21mxN5xqMRC0LJgSjVvdDMJ79TsMz9e0JCBt23RC
I3T3Hyzr6vuRlmUAKjbh/KHzgCt/8diNPYtuS7FJUdpBniShhJ4a9iOrfRkkXBAY12fbwTCuplaz
U/LEbyfxUQbo+5mrhUmGxwvFB1mIlzFVRbpi+LWiJsCqdJITN0byJCTlaH5wvfL9SsPoULUd5LTg
XC3rYqVhChJCJAO9HiIVSlOKEHXJNu1wX77ma0eHAx20C6uYU9EW0lJmLV9mcBY3LEb0sHX8XXKE
TxDBnQHN0QvkCMj9zQC+8t+UHN7pb59bjdm8ltOGwxinfDDL+9OPxgCPAahhsWq8mxyXnFylusZ1
EHeF6qE4BT9ezrVbdFSdczGDu5yGf7bz0pLRfhqa+BUC/wcr1vsF0kIWwTxRk2S6vVMz5BL9K+jZ
OgCY/FPDAuRyG/iwvJXutHz0afK9MMACImY5G81KhYtyufNWEIZhsYCyo7rxs7pavG0suXYSVKca
GTRwKajXniGHRDh6C5f2pZqr7NosKO51AUXAVhf02c16GDl4oxrGLgAwVgAS6sbrVJs+yMp4v4/y
jY1tUIyEapOR/P5qtZCeCgTHdWApSxJUXd176N+y/SA4P9HKFt4o8g+Gln+ovvk0nggUW4Jl+/JN
wh6NWBVMeBCmNDYbvBIcxGd5TgELHeKip58awaRQs+HY0Z66cjQalVvPkH67si9kJbykpIUQMijy
+gynFA+AeqK1ovoNpWWtccSMEfZ6mtG/yJXTxFtPpFQ5OMGxsH1YVaxmiUG/dhu/6HJIsLCA8S4q
tHH6aulBlEEiSULtKW/AeaoKQ71aNe3dytDBjwnscPUQCrSxTShxfd7PE32St9lGletix8ztx3YS
NpOej5vBC6vhV01BXl/X3eSv64dmzT8uGya+OpWbi7vuMsOwttckbnWWjWjp47sMceBe5SzhSwNH
G43lij2QQ27iyO+0zelmG/zQ5dTY3jTIfF+a7QQzgh7R21pfYFY6JksCB17vMDH0vfzyNtrUa9VB
81O0p4Jx902c8iP8fdPaHrrf93Ob9ZXiFcWJkMK4WO/bSGcEixkwKC0244E0C6+wtldCj8erqHUg
TNpr8UWHuwZ6Ycw+2DM3l+Tl50vdMjQ0L2iN1Et9j2PPmTPNZRWInClaJdv5Ts3o99s5nXCtcfTn
sjYKNwGwcBw2tGems0POCn1sAug5xGWkwwzCKuAI8piydzFRshgAATP4KtThlC3VC04GAIfb/IHW
hqrQ5wuhcMcEn7wY9TYNMGiypzQlA1FsPT44mAzS6uS+bSb9WeSGB2fi3I7wVA1zxfC9aV6KyHnl
H4YeuSJ+6l2aB6WNwAYgjnT//iP9obJAxI+dU0WHyK58GS09Mqsr0ymugoYhxduAoMDlhoqciVCd
8BqufY4dIEOcLTLxhgbB7PLM8KA+vo1hVjEgnGodgBiTuM+39a0xH3WsxMzF6y8lE30vWphFWLhe
gr9/+/frHoJtKgree8GZ8fKMNADr7woaLwEC/oCMb+YmLBXZwhH1rRsFteWDVe9d8WzxTFGfcijD
g8TGvn2lX6rUWIV03Gb0OWht17ul7q1dsk3u32Yx3dvPOzAUGllfUHIgGhm2MeDYgyDRqnnYt02b
7Q3ELDukGh85vS83yrcvh4xW433bVEPbn//y5czFTlMlI+g8idER9C3fAc8kUwDGZQQff6Rf+8PH
ba84SiVN5TDxbtuBaNMxiMyCydieWqs4A/JkRep4dt7sgX//te3LKthijWNFQdGJkE3l5Pj75cXt
yLSxTeIgjmNQkMmosxa2hLHqjs+oyYl3U0ZFkpQRewZl6AEAWHgAB1Te6JVufZ70wrlLx+FgasMt
aIt535i9udOnsdlPvKMerY7uKrfrMnCmxdzVfZmcSy3F3TEWTDfXvvSxrNCMhyi5za7vMY2lx3Qo
VXi0HZzAShYepLgauyfLnAvMY/L0yEhdTAHjcQ4nn45ks2+jRg8KGWkntBwKE5XstoMRg+jc0mC3
QsTT1TY5m42SEpqRRbcl52R/HZXRI2jL9oaYP4il8l3d1Hbq1Az3C4WaX+Rh6lkxJzWQfCNtQ0w2
AzX3ukuYU3slYLQTAlUDHVjmpJ5ZNKVf1npyGsj5mFBalBktq1DDQtHYBweb8pk4jA3691D3+m0U
k1+i0B2+sk0F+L2yql8HeIQB3lTjgxftLf3z1+3DkjZFmEREy6okOK///mM7UdM6Ss4uj4LCPryd
e7Qc1UjZQShtqaVSWYjbumnKIKwn6JProu9lvf2AVaZ7dttD4k4H6nqrtVIvyeMfuUyhTCI93LEz
mPR3Rn1P5kDq2SyQnl62pc8QQXe3roRva6vyuFSTfna2vz6t+ts+lo+Ghdpkmk2UJMag7Ye2KA/Q
B+0Puj+XmxeyP14o3mDqGBaaS14OK6dqaECO/LhdgxZVPi2iDw4ol4vn20dYKAwNBzW6cRnPxSnM
oBFAfl4xpzVePXqhYztyzKhXxCC91nBvlI9ORZdFAR/K2qlT3HCeYNm4WKEihdhIMwY401RWs2f4
BYdqJRF6jDIVwQAjPQWT6bECme/q/f8K29nklOxz6Pwo4Glu0nH5/alaMHCMaUFm2GDWCnP5tOPX
hnKLXY0PBHh0rJ3eDljtHmk7ZEGum+PT35exNwXcb0/29h3oV8OJsBH9bgLxX1dpXpvWkq1i+rDi
Selcmu5Q6FrLQVx0664d4VEnhei+zWINb7iR+k01ozqFqGw/KJm1bojd1u0mPfWHYrVfRCe5lU1H
dRfXfpHF7SfiKrqj0VpcTh9b56bRzbNVT82zjFAl7OZSTYLJ6e80K4IvMyr5B8WXsR1uf7tGClgG
AiYGC7rI7M2/X+NCTrbesIX6A2/VmTyB2Rd1BKhurMbT20U4Q5zfiSmyzl3MHzB4DF0H/oCXq2hH
VkowT6MXQaBHGB2cKLY9C+Y377XojvMqX2u0GAeIiEjIiP7xkki7z2ShQQpMxtO6xt0hb8wWBcBq
B+ZsjUy1u71ipDDjV7PZ52a/ovAhqmqsSsUvarl6bWjsIvgGftY23c3Mf+nX8IJ3cRxtnFEofOGU
3xF29ry2qcYiNJyMaeDL6iLfRU08kihg9S9K9a994zdEyq/+GO3dTsvtpCOOptKiFfw+XNsBRbVy
bvLxKtM7GQjrtNLxnETTA9l9oasNuuqvPXboxFxCl4wRBEdGbR8yO7d2mC9TF6SF6uYOr1kKqvWq
ySL8wEtqMV521iv+FvM8AmJgIqyXZKKAm+ammwF8vR9rWoMWTUPhih7JntF3ut9IYsIK7P+uYlbP
uMwGnwSTx4KGtJetOCD//tL86QYwXNLp3PLyvKtsljmJGbRxA8bceEUyb99tP3hLZpI7qdH4QS/S
erf86kIzNGRWtCOBd14qcgvgjFIMPcsEmiAvZZj6gjoqvqpxJLliLWZfE2F6E5t9fCUhF+4YkQJT
mtTVI3eFMhSoost86vPohOcpMq/D1eh8FanKbJ6WKK28ZuHhHFN0m/y7bk1h4ykONxeqXOjJiUeS
2vO16pr1XsIT99VmHX+qVdUdBo0fsuZkc047Ye7B5EV+jK77aRrz9hNTawx30JLviXJbXV0iNtji
x/aauTZ7vN7jNYok58hY8b7H5HFwsoXHf3WG68IsLRJGKgi6grWlq7PM77avwwwu36rJ8ckAd+h1
I2ulEo924RrSSn2SWTZruZLeSFFhhgbV+VULLazhWH3LcxxXiu+0Bb3TMYLayY3cxZZq7mMaGpRR
NMnW//1p4SGhobCJqrel/vfVpzPNPCOLxfTtFmVJSl6Jj1eQFbbSK88yqg8Dqd/tpSB36IXQ1DTA
9dDM//0DU9BDJtdh+Jg9h1sbB81XOcNDpKRigeoGW+6Hyu6DfpoVXyNsF5lYE5NA09uHBbQ2mN5w
2GFwL56SaBMfJWwK2doZmPkM2P4SquuJzRpiN9JNT7SsYEvPdQCuT3Gx2up+aYcA8iYxSlJ/mEbt
RVcggUNIfAjj5B9O4sOuZpR5VfSKRXIbnGRSnO27ntPOPs6BXQBqoVlUxrVXTHMfmHSuAp2BtM/Y
nGUY6s9+dnLtgw7j+xebER+KdEosDurG5SmdEECUwSsILPDgFCA1n4dszjmiObIP8Wo0H3ye+r6w
5Nhm8FjAQnIYVTsXJYiNvK2REVQsdEzaPllQhqoqsNykYBBVriK+wuWY7KPO9OtqaCHT8oOYWaPt
q4Lba00lo4DJIt6Kk7PrDGxUAmSkJyq9RZSg9kHdcCmJWbWfio7l2ii3zd0IMZWuSX4HhOQbZmpS
b0ojRHHN+0p+7jf0i1BgTFShaZUohNtp6mMFYPe4mvZ1PsaZz5ThFUJB5a2T8ZpZ+TcZ890VQS4S
yUrrFX0tuVeHmcZK1T52K8sEGZHpf7fWOqPUau0ofkFRpoFmQnCvIvJFI8JC5DjskjFv7xWMXnE1
9XofVOa2m0JXcqOauiRL2GeGYgD4sC1z5OimyHoGiCMrT1A2skSskOy9rG27A6p49p6MB7vL6uY5
STIFlDN7Zt7yhWrLqjw6LqvnKDFTAIi8//5pzlIBqlmBdqxwmq9QhkB6mhp3Zs4PA5W/IY1ld9ST
zGKdYaVN1Il6oJ+Jp1Ln7hj3wr5WG6bpA+F7R6eP7ENnsbiVxHV5gtwkrwyd3usqxN9ovvugjTrQ
xioqorIP4WVvl6kYanozKuvq1aPa7Yelgo/WhM5RAnvZQ8Sxg3w1n8zF+lGg13WzXJdHFrbxjKdG
27P48xQbix2MTU7JQiTB7m2lxBC+4oaAbaAovGeQDFI3Lrj/saP1HNr5Od62zf/ffJ//D9LVNJNe
3i/Fwzu62uefXf9/dj/L6Fv+q4Hz3//uX/um+A+tVZYdNlFVZ97P6fJfxJrxHzwrGowzhwER/0tp
8P8h1qz/SDo+mAo4MlGJafzRv4g1qf7HoESTtsW8wN6G9v+LffNiTdxsoLgSOaAw/KbHfqlrwSQT
Nblt2hz8hsxvBGLbEaCRZyQZYPFy+aBYf9udfinWt8/TVbYFDoOMormQi91LzuHm1MRlnXVREMks
/UkNCphcxTo/L+PkFeHaQXLg34IKQKsBwTSWfcrgMHenUWpP2Rjao/fLz3b33y/wa9V7OXx6+16c
1PAYMdvAoLkdMn5pZzlo1PWUcRIo1PxrX/I9VNKsdtZqHGSvn1i0qqDKtdYPAcd78XJttIM4/f1L
XFSCb99B2zy5NNRUsMUX3yHbolTmFK1incxNEG66cFtNqse/f8offnFdl3D1OJ9St1zuSWSsjGm8
phw8K+NgZNNnW7eg+YDD2DVTN31wY/9wTbTFuRo2XAll8KK1QtGuijm18W6WlumjTQfXMuAr/Ps1
8VL+egTc7hz6EZuYAXxtbD0XT5UMM/JZjNAKgAByGRlC6jIfPo1F8uPvH/SHm+dw2GRix/UwHL/4
IENZuaPb4xsSBLkrlPR1Slaw+Vp5p6XZ/zaL/O9VcazlIEIXEgv4788kuclVhS7JCph3CTe3OXLh
wMq8gpAzd07Nw9+vTW6/xcW7iVAFzN5mJ2eduvitEjD2tAsihKoKdk06oM6Z2kN8ytXYPFKQZB7a
d9OP+0ke1gr7hwpZ8TvqRLwA5dyAubbbADb86GmZCR5dGE3tmjh7PIMQq7tekg/o2XHpNMchLTHW
FYVNxF+9xuMOhhxHk35VPWgb5DQCgL9Hydve//0a//Seb0w8en3Uge+fxwk24ESQmxVEhCAdU9Dh
xwVtr2uNxhNpun7NAeyIcOfVgkK6x2QhH6dItz+41X96XslpIFIY7zwqlIs73aYAqQxMRUGeD/qR
wJubkpPFDqCj6f79gt9/EpwL9g86nLbBvb74pLiOu8lBABFYYMPceWAo2VbF1y7Grfj3T1IRiLx7
gBymAapgdK5rjAa2P/9lEaUU1RQMAFagI6uhTlOSQ5vK+Q6IwfzJVHgQZNM/Rtlc7NMBSr3H8Lsh
s7isp11GWPHB6Ug/XCikB5SkhvkwJKPxzRhpEE8mREtXa4blwel6/dz3Y3WVxUUCdyRewJ+pQzr7
OZoOPHsqU/vCGo7CWYhdj2kNOW25BEpD37xtG0yMBsG3/IsCcpARVUYYTL2EtFSo4fVASO1tiYGT
Q2TcmftoxNUEyCy5DUWRfluatDjiF532IifPYXEMhdoRk1fW9NZLoq367SS58LVDEkOyVI5avSUK
UsjwWk0Xz8l6StOwLo6xkdBaK1T0ffNQP+qyrV/kUNbf7EjY+F6aEjLLAnO9rKZuDxoL6pSD0SER
ffqgiLq5tUVhE9dIt41SeF7bHefA5qWex/Aad3FIsBP5SiPuhR/m1M3VLhTaF1SNn0sG6iRzK6AM
07691RymslYRe41IDhrwokM5qhrOTZiXnzivcIjWGI5fCV3rbldCwvBiNmbQMV4iJ6/fXD8OBr0c
CCaI5CE/jfAgmN+Z+XJ2BqJhdklGNU91HQ4WAugmCfJmGn9SMnFPJm07t5cA9QlWvWkIOuaWISMn
BEDvPqtdOT4bup02pIHUnbkLW+E8U7YtPYcdp3+yYREdhwGN9dRAiG1NQz83o4lTqxEhNXu0obKb
la1/l0VqQeA2MLvByyAHHSQ9Yb+0+b1lN3L7RqUzvkFgmjzsbiuL0Kgme702jC84n5Yrjq/6Fw3L
4bizRRbfjlFDbg22Dz7HHgRJ5iweMyunvjCzYZzuPE+dAT+HXMiS4D6R/iDIgWuwQoMnngiK7iHX
KYQ8eHs13uM2JGUKLJKqW68r2SX4MQYmTN7WCsOezzGIFBq0sGeZFc0JkpdZMWyYUPGQRgbsYAZh
uFLg7FgPCjyaxkiyZ0VwuaO3zZExuAUHikC2MRRkg63EspG6g0miqugTuyIrCs8uQ4Lk5+hgYJmJ
t+4t3zeeWg3NlL1JcQu5uQ8VJVnPzPv9YVSbE2hyfAJ9WTxo5QQLNll88oHjR+gj8z5JapCAfLcD
wHnikZrewXSI3K+pZubd5szzka9YkvH+DVAd0WQ8jyi/r7Sl+VmpnMqToU2oT5vmqxOibqRA1Zoj
6RLtzlRAKkHbJbhZXY2J2SyM94Zkl10mbNwhA8G8MZ2KY4xqm2s1op3WJcU3AQfsBq7WdMBwEv5D
9pwR7nB8T/djKmov5yd+CC1NHJDk5vtpGeMAEr6mU4q2P0aj6NHzQbB0CGUJWloue075qo/GR6HP
6/jw+JZrIqwI/8DpsZ8tQMAtPKrdWJ8iI7GvuspGR1esEweFLrJdGp5P0TLqV02rRrcKU+Wrtu2d
b4ltak9yxQGTQ+Qzdm1Ia2WDXR4QQWDALXrC/4yEV8FWIlJsyDo0a4rjQhpQmOrxxbbb7mRXInPZ
9ZbdNAzDoQ3X8rrnYEmwrD6teHsSnQCHFpKetZ3hdTB33gzHmwn3etNpTbwfU2t9kI3VXddrlnyf
E1ZcoWxpNyHd/abJZgC51XRM6TAQ14eKcchW5wkV9bonFIaDMHEb15GTvgxgHFANFbPrlGGHE/wu
zItPQmT5seB4epwGLYMYSdjrOo4B+deKX+Hg+llOzCRwp2XFyrumqC+zgwtGz7vrKYyR88CLdOdJ
ENVHUNQZqB6AMrhvud+S5eUZeTX5lQ4BulN7DhSqWRMe3I6fwg5jmt/qNACI8MIrVSqvDNxAVFnG
I0XSGiAzgw5X8SqbqghUIG37aaoIVy572p7tWUs3+aeqoNJiBYdiV36jdcoxmyvXMA0Sdk7Atd7j
67YwQyR4ZWeJP1obJu2mmYbwUynCYm+F0XKV2vq1XkEmQ7C44hQ06VVMQ/M1dAiPsxa1cs1lvTON
xvbTqQSdaM6T+VISeYpUO1p8C/zjlpQU4SPd8qMoqwikfqIum+9lifcsN7UwAKmLR43FBrcrmke1
UZyHmOv90jrTSEedJEruhlmYM8t5kzL0zcmVw2tZhWJPxFpGRmHFHcG2tFp3uVHSjolYvD6Pcdt9
J2aX5j3ilXaAzbrMNqEWBQyybn1dZIJrB9rzbrKGbwW5Pkf+uhVn49z5qd7qLsq8xusW6MiV7pEJ
o97wEjZbbDKDBs3JvkihNSfSPaOdOqyIrJaJZOk8wtafZAsQN0KGMxxN7RrOt1auPyN2EV7kKE9a
DhJZY5O/MxWCOruVWTdORrW0dqE58eRmWxKWpTcPDIkfrKRrDhURGBjB8Ej2XZaetvwSnIDDcBzI
G2SVH8omMIFs0HmRMoiq3AxYUjCYtR1p7rXMz0tfyLuhzhMsanH5pULavm90Yx8qS3oFL03ZzcSA
vbIhJfu0nPLDaorxKVKFWhJpbkw/23w1cIYK8MNpS2NsXR1BzWgsPmzY6mDTxD0S//NaSVmd5ilU
H7C1N34rljt44NmJ9CfDrRxtBnyLYggCQAYQYM3aPbHey21jL+JoGU3oK0AJPq1GHqHODf9pnWa4
QXET+XnilCdc1oAIs3TIDvMogJil1QKxqEn3fSHuG8K7kCrHiAbscfbX0EC4GelReaIZLlx7lsJX
NXKKZpmufjUn2ZWO54gufzEkE53NfnLJeK1+yFnmV2Eps94ve+6IYyJGCktHPRL4jJYOXV+mDy9L
O1fXcwWgJ6+6fwz4C+em1movUvPZ5Wx4M2gVE/Ow675pgFuDQjTjsTCQNFXKcwmYj9wkkN77Brv5
idhkJFQ1OYLRYBZPMxaiG8eaEHKxCR7mOjqV5EM96eS/Y5expdeQ8PlPU04rOzdFwU4mFaKsIZq8
WrI2Z/CebwAnRvcABku3E7W54ceVbKeJvMJdP4x3c9x+JmK631XKcI7lmLvFMu2rmHUbV0K9z0lS
bquZFMaxWoPRweSTS1Lj1tq6liuoX5kkyT2FvdHuojSkvQ/WfldqttwVM+GnG2O2tkoyasWP0kwO
A8L0Yz4AQrfiTh60yor2Npor9r6ZWLLEWIN8gyQ41iZ0t/zFXBbohLVin5xqToHKJ9ZByx+ZuRVe
M2RocyfDw16MbjCbM8yqTrQ34zQMsIElgcbn79rC+NE3RvhiFfBGa8HbjMplv6broa+bp6XvcD2O
y6lXhmc7leNdzFyVW/uFmRJ7dKz8YLDxLLXsukzMh2hkh0oK9TafrZ9R9rOd7DFoEkZcIokee3OA
jd/Up9qwzomhXityxT5hDd05bxWmTLjzdOg6QThp9o+KVC4/koXLLuWWdj0GmtkUn1ftH1pxuW/L
hlY2bHk3b+p8NxiLwg/YJY9DBce278onXPbPiPX5p/mW1eFXErHPMdBCvCf9Fbzx1kUsnPplET/F
0jkAUH+c7PRLKRsG5HruGl15o5kZ312OWKzqcdoPJGfgHKiIC1CG1NMN+hc45o8lWkt/MvNPKW/V
MYe7QdvhaBI/qGBcgmCl7vpmHL2Gkc4BCuB4WxLlervUVvezB4VP08w4ZtgGTk5imP4YTmtQTOH3
TLM4mHPcf+wbHSUTh3xeWcUwf8SrylgfXUoUFobf4oc8LVkuXBlO8VZKMZjRtcWCCmyDS8Ot7TH7
aHdOWV6TdDCTCoYHL69Dh8P9pAdKxBGhmzB7D+jF84gLTmWasRSQtcV0C6Rlxe/NuRUUrWI92GZ0
i5QzcU3ZfiVL1YclRkKySfVZZHLYGSFrfh1R0GvOp3jVrokB+9wv5U1hwvDE1TqgH0J/mlp5e4zj
FficXj6JHtIzmWQ7ifrkJVVHJgLk1eHc+G4p+mczF727tuzZS93xo7XZMzqN4W4hM/V5phmKCcLI
D+0UqQh9ZbWvQ0QyBL2l35Jx6INYjzFD0hA5WeAudgtZ5wRYTtS2Vvu1xFseoF7gSkWK7Ckdbw21
AVxSaNV+1fLh1cJOcZtUM9WdqeX+IkTlK87ce0smrkvOLH7K+ec0lSHF0RYLKtu7tueAwcy9eYnJ
6QpKJnoBLZaHBv+hH9akA4/RjU15eNs1yrCfWTv2uhOSXudIwoXTmXNzorbNzSoFeRrJnPnC5HBs
l+1n4OVg9jEa+NjYxT4KwYhYkzk/SqXk6FLW1JLIL8mDsKofMxd1sqB4eObMTyrVoT7IWBkC9ltx
UzexOCLaK09Fc4Abn+7NspLXYmlyZl5DSv6TrT+TK20+27PxM5xV6UlZjkGca+IzKQn9oVRTBGH1
2H4nnjO664k9u14SCLippikBipMxwBoQ40h3uhsD3v9ep42DMI1ED9EQFLmbqOYhvaid9SQqjPZD
1Gu+QPgBW5ceHzifrhC7ISYIF5a72M0CN1hDqRjR8foRRsTQJ426uPH/Ze/MduPG0i39Ko26Z4Lj
Jgl0NdARjFlShGRN9g0hOWTO8+aw+fTno7MOynbVSePcNNDAucz0EI4Qg/z3+tf6FnExvm56svNT
x0KrTpmVUh2HX1M6QUp7wrFupfrcz4oMZys2OV/frd4Z/SG0WSaNqUOnahFNl0THpTfjuz4S3Bhw
mYn7GCGKHlN+4rPy/b3JpofeXdfEVjb24K265Nae2vaQ6tiusRpvfb7onKWK9lSlyUClQ8tcSXvC
rQ/eizE2p3o9M8YAUkd8qOeh3fWTKXZFLp0Tr6M2hA/j3eyYwz7MRu8IuTtEc6magLz5dOEA9mns
TOsLe0djTdD0OvnW+ApE8UtJrfJtM8XhS57MV47jGAHGJo9XUav1BKR6zAdZO5xIdz2ZpvPCy3bH
svUPsejtDQYc2rvBqq/bEMnNnLqEro6mjVnoa2hDZdtZm6LX0YIKzUB1TMQaYhGXT1UBmImrMNpy
6LNfSHQbAZdg/QJ3JDrCmZYrrwTkQLvZklFKRXmPVlE+1RogmZZyq7c0i60H6lH1i9mwYo0VR8MV
LXrtJTP99yYvYMZxBF3XmiXZptcLwXpO19J3IT/XvUtJR9l+L2fYCH/KDsOEh7FuQrFptKrYsWcj
uNsR6YPimRxVrGYOZm3lgtqqRqww85exs/U9tij1GlckcPI0bVE4xLs7VZgsHfI4tkUHAvWe9TkH
wLLOBoU3c+Ckhe8pPXD53eP3qg0WklGzpyUhvokGGlHnqkpO5jCAvtcyFNVTPvW4cezeGu5VqtvX
IR0bk3pUwC7DSLB6jUfDBeSF03rDhnlyNm0fgxXhInMpfwPLchNHUj3OBYttQmj0ZGzgd0g7sLM2
fx2F0280NXLSm+X8SMuIvatpXHxqFYZItiafUtFzz/Tb7GsB32WbesYUeNMUbfSSbGdGQOApzMpT
Joc7rzDaY44hB6sozw6+qzngprbwNymBJ96FO1NcHJdNvJIUpDzzQu1TkZcV9mvunUZV3EGSz7Zp
WdMpGvvGNjfGmNucJ8vPdVVbRwl8aTPbLvEamlrx6Trh8DRSrfgpC4fmMQGpdasXvg6WhySGXmos
gLUUlb3L63xv1P5Ess9N+gDnGGUEUhncE4F6UwFa5aCBqOMc1rSLa5vErYgO25hmQaT34bahyhX0
YUMlRZbxMFi5fa9Rdtp0+VYLx/pNZAQVl59J9uhy/7nrC49iqdIh6wcTtNz1fNQeBmQKVLcwPB9C
zD26kT0Izy92/hBPawf9clWDabodnf5iR4YToOSQ+qfKe4WR9w7BHed4OGKKCbnxskfYas5INSX7
8h2x9qBOAG30wl77GpFzbcpgqgx+k906UQqyvOme3SZJ4yDOLIyMRS3eBEepPe2VIPLaUG7w99Xs
ymT/wJEy5PtfpLsi1sRmamr+VTJ+HRVPP5hZ04acvL5D+rgScrIP5YRjuJrH517F+2aU4w6lFkKs
F+qXzqQYmwi1voKGl63zxLX38BpyAohZA78+eRASpAj242No65MGk5IuEIEqvEHV6W8BmZnvE5Xo
1IGkWD6YwZW7g2IxOEihtTzZLkYW1116IaJW965ww8GMKLN+Qf6o70uvkw/R6MlXuM7pmU+eczHS
Hc6b1j0zy41r0SymVr59+DLMDxlH7d6fjenszNFMPZKfh+9osEz46OX1qbQiGa7oQk+I+9DDgecr
K7WM8FKDwyGjEUJ+o/bBmDa6Ec56IEa6knaFA+B91Vm1/8SztHdWMX033spRPcfgrKLcCeSNqikO
KnRWqgA8iRy5xa10svQpA+y3gaTX3HSRGINQXzYuYaJ9UXW9nojgg++s+Nv7sXtwxhqreG3oZ2QR
l7+6o+Qy6lD0HNelcMVnliWXMuE+OtNtuiliE04WO8s1xsvAqe3hHOZ5ILsUJJ+VbjgBhcQ16m/9
3D6VcvKfSpI5PHajxQsYlV0RuMb8WpTTy0w90QoTrrmNhyTQCHGtvFpG60olMDAqNCEWOocoT7Tn
btSSwE/QLpHdoY/Fc3KsaccoaKvYAuYo1w0u+D08TQ6zg00coYMDdWCCpcYF3IaYt7rkqbiq6LHF
MVONfrluPfA7djf20crTYpwTbFW0O4CJqqIzk8aNFYpG/MkiGndi6KsOZiqqjUzi+hO1dwU96FKQ
f4NGw5YawUOENMaY8tJZNN5xA7PEox7Vzb7NIg6RENtr4N+h3R4BpuhypXSFE9TrWlpYkDX10RWv
vC8ILqqgcrnpnerZmkm1LieW/BKShEC4mRvrqsyGoZe2Vh+LR2mYYIia+smjPyBeZcMiIWcw9r/Z
IjMZhTxP26XsEHi8oZe8OFPmvkqFa5eN1FLuZLgPLD7dgzAt60l3oqgOhKPBK4o0e1yQcp3/eVBe
xSCjFeVB5wmnc23rCXKaQLTrHTwqqxSbKwEFwzY+6F2xnoCM6s8gt2qcROXMwd/vinPZ6CYrBqrf
If77dnYF3qofwHFOe53NyCcsUmEUZDGNZB6Lii+KtMbZqdP8PXex74aw787kXezXXrMo7+r6qHhL
HVpc6sLmv8sRY9Uqh6imr6eCGiq/rpxPfuV4NS1ytvHW1ZG5H1sJyKTzYnHJ9BA1wmu66AIgGm03
xgoXEz/SofN8q0qzemaJFL4UUVF9BsxKh0DHJ5/ycWYHwSS5V2Uyv4Sqil/LyOSrqZJQfl7M12+o
wPaXHMAjprMZC4FF45vdMcLP1uBuSi6RY63ZNo+UKt0Urpq+kZsb1xq6Da3ANmQK+omKtQLt8qw5
RXywJl3dtuPof07B7a51twPRp7zkKJCZl7gI7KC6asO3GZGFL0CVN589PEfHmVmboXoGRZ0xAK5k
V8DEjAbnkYdX+TGUfXURZavvWDZo1spxWhqZEoYgI9O+AB2haY49PCggbvPBYET5Djc9XWeINiXd
SgXez6ouLqzLJKe8CL3LSXKGktIs6k+qG1vwlQtKhiMVIqRt0tFiyjGHj6Y8MiuxPCZ2VV9ThrSG
rBvJgHVKKdpM+jXJHzt/1KkPyorqlhuGR0c5LbIXk3h1teOYDFVhMBtO0dQEUk1ND9BShwUT/KuR
tuM9gvV4oSe5+QQesvpwmp6CKHhpx7kPxTcfB/0tWYj6JrJdTYNpNVjfaNiqPki3jhA9MSx/pjTM
e01xnbmrHKeiwG/V9OWaJJ0dUlNmiT2Xqk9cxrIfO6cxUvoRMOKt7LDTH0B82c+RWxTXMmqfDR9V
tOyYSKi7mFPilpEBNNFpssvcj+qt6PyYUjK00555SnCHQXqf951E1nP8oSu2HAP4kPt6YMDQBNGG
Yxo3dhHE0tDZN0xhckezrlMFDltX7hFR6W0tGjNPIHNJMmXoFdtxbrh0qGKi5c30eNiYXcYiuvY0
/XZo7Im1Vdmbd3rvIti5Uqo1MZLorW/rMAuitnu1DVWnS9iSusCirR5iflDe1vY6+wkyfKvon2rc
K6ORPQAaprgq/d5hlX/vs6rdpduKjbFSW67mtNuFMFoW/+9SiAUuV3zpv9dkYdU0TxFA1Cchlyeb
T59WNC+2Pa00/GPkqve2pc6AzfE4rTha8z1hRuIdsEwwoBpVDY9cdOyJPY77Ocrn/NpGY4hkKR2C
vwqriGHcOBIJk2eB3YqdRVQmDlwUbBAPTsvCw+IXHg2QB7hbFT2mmzqiux2AjlvJjR0nSGedkX4N
qbk+uBRuwZSNJDVtxFYT+rbC5murXMVTF4PvamB1o05ZpuVrfZTidYaIvmKJweGtaMMi27d5Zl3T
XOon1dolB9xZGTu1ZMMsDJDrPJVqK3KWQFyS5WGMehZlLsu0i/CRM9lB9jxNwJ4vjnrKx2tTa1+o
/CqCcWCaqOL6mzUY/snRbP+Y4ra6jLOl5SvedndUbdfeKryRAbtazvgq2xIy0VYa274dZ5sqDjg1
198ofLPilZ+nyQW02jln77szoyZ6jIsCbrbZadM+LehP27K3j7dlZ785la4eNJHaXzWBtIMz80aZ
RnXtHSt9gpmV6/t5rHzEX7t59Xma32hRZdyRRdYeQH/9zoix2B9+trz4WIGJ57ARtWlFWOwTPzgW
4kx36zpuvOVMz/KUE/PFFVV8zmWd8NxmVD0P+JKf9GHgUfrXhgn739klsKCwBQUDjvHmF3/PbGrC
S/zJ2ykRybMv6nY/tB1bBJ21vTUSAQ85k7EYp9XqOs48Utq+L7b1kBmrnp9sVnfO2vMKxM5aB9db
smAqJ2FtR8Z49s2mcSmj0UKWKYQLNaRw5n0r7OpInGe+lV1y15mUMIwO2qCFUytf9yPpb/KIPJnR
D+lb7TNzV0wZ4FrcQYEIuZf1bW8zoTiP8K+X3iRlXJpEfE3Lyl5r7iD3dDpi8qpKl7a1eLFKTZTA
/fVH92uUGGsU0QyaMMj8mKiD7i9Ok4JLiY/PZlrHQ8m5Qb/Y9qSqdZ8qmkaxLI0Kb4bls3c3VK9O
SdcraPUbpoDFYzCaQYj53V0XdPvBwCrEJvWt4aATvFhXk3aa9J7zbg5LIbHSdF+mmfsbY86v6d7v
b8FhoQXpn3wd9IafLz0wIGE9+K2/09s65YjjD3O+9uYpPs2afDCmQQQDD2cQ2118NHS9/2Dj1R9a
OCp7Ol2AjpYZX7FRR/bAt/HXH/C/2vboybCFx3W5wPV/NQlGaHjCEIW/IwLAPXSyIv9GD8v2Ny9j
LOmIX75//CBxPPIV4Nb+a0avZmFsd2ENmSECJc7jGwraOEJBm6ZcvAM/QyHI4PmXRlgG0LfFQ8IQ
OsGiajKs46Z/zpVHHVLPl6V2qLaTVq9TdBiC3bUT/bEm1/f81x+N8etnw/1aNxzyF9yDQK5Yv9g0
m7yZESS49obO5KYwm6WzdnXEwTTM6hW6v/3sZ+dKT6rP+Yx6xv5HX8dDHh8VHWwBZgZ1dVJ/+jPF
+v/Mf/3/a+8O7DQiMn9RusOir/jRnf3nH/iHOVv8sZhTOYDwYCMAu8R38Fwszdg+NTl4PWHDEYkl
28Ov/NOcTdeEY1AfxR9e6qn/ac62/zCwD8NNMgiYoPP9t7p1WNH89P3wwCRgJnUMAug+SVbMwT/f
JKrYHXWOQNY+jGcGW0SO2NjA7rXSnV71jJ4e7ToXLwnjmGCF5ZXrAZYHO22Z1gX4bHcAMeLobsui
RRp4nahjXVmFQ1XApPUhABcFgtrz22FjkoX/UIzcQB1LNznaDoVuQDY95nR/SA6ijDapU3YXOynN
e78zgJqaSmAI0sqbyfSTQ0e5Ddwu+xMM7G7NJ6h2OrzdoKpMeZt2jEeM7Cko0g1OxSOD8Nqt+z6Y
23HG2MDp3JR4teZ2AZGCL0JpBCZvOb1ifPNvw0gzCErgGrfnmL1KkpyUmcO1JJi5njmlbSvHukKX
d7CJd1/LIgP6Wie42DtnXvVTqA5pXcn72ffHY5bo8dVvKMjMlYE8bcg3d9K8PZb8dotB2Q5Gn9f0
EvERDq5xJ5vpOve9s9UnlYMZ1e4EmlqVzu8+k68WWYEswpeJ1lbZ5Dc2IXCp+iPnTJIWlGTT26J9
tStv3IaTdWX43XX2QtcWat/nPLbM0XqMoGiulvrrjZMtihWMzxUniJc8dqaNdN1Xkeo3aWvA/3UD
jNrtOukhEBBe9wIcMcOJdEq7Yn15LAoAHiqxd5PG8qrP5SVrazYh87SsR6KCc29tv6tRy4OiFfr9
bAnzrPplYGVs/FJ0ZqFWlRiir2aIkBGnE38D5ds7DFP217btNYw5jXcuigiX1iTUt5YlNen/xGpQ
Vab5lNXFeNPG2Vk36uSb3Y4o2aq2VjQe0nXeVRqB+Fxe66xnIeNpD0bjHzPajNdGZGTIV2Bizgg2
4Z6z4iWrXD8YxfzgxdV95upsFUf3MhfJeHAgM56SBh8cPeqheSHy2wSJo77mDm5QT8vhsPbDbeeK
g0b0j7Gb882D6/YORUFNymPeY2EgOBel9bgpKXqhAa9UJ5m5Z0OznQcZdZ1x47phSnNBXBoNTiaN
Embqh+B7yiLvqY/Ix4jGCh+EG9IHbzbIkcLIVgnqAdaiT4p8Y88U9nHkJoZNHic1H1qggUxJVtEN
wZBYLBLAaulUdgxkMFa1PnHw7lzq/wLyxexAXKOCXRPmtLdsotSw2xUFITForgiX5g296IXc94Zf
y3Vs0iWOTZCo34tGX32S8H325Iwo7Dkc4vTKW4PmL4c7J+YQsfeAgakTGn0+btnC4YhlCdN6nwqz
capD5uRa9a3OktnndVOfbwAtQT6lpOjjKzC2pc0s6nvRRvlRxVZ9wJi2iy2hTLCVzSg20tSTeBsW
mtddK1oWCs71nj8ERoVUsqLG0vnC+kC9lCPfGLjL4aWNWk+RhDWSZgXPNK7odB7ZzJkDotNapBOd
nk6VR/QkZzkflst82sJXQGeKnljJ8Q2RHl+FZEYDS3EldmkkP8ZwMRUlMR176yxNjOwiqrRIt3Nv
l96mkEMX3cVZyU/fBmSyW2y/ckOygLEYHOxM7SSrZWTtnkDpQTStzL82bLySre9m6JBm4WEDtQdj
fit9UHdw1uIHn4zfxsmh6nJPwe5sFHSylzUl6wcVTq1D1yVboGo+Cs00v2QiiW9L35ZvY1kxZOcg
sm9pbekhjHtzeigmMb95ZMMdyBErFraPqXQfYzm9emWKWats6Ah1sAyA2cvvrdTgtpdEgpBjKT8h
61XbYei8z5HJum0FzHv+YujzdRR9GLR6Xz6HWruIiMiv6cApdJAnwd+Ly5JTrEOzwjQOxY3EV2Tt
fEpvP8ZBtcVaRPg6VzkdlmfV5gCT44ltdDTW0mQ/l7XjxiyBY4MGj58HNvHuVsQNfPrCza0HTMND
SG+GSwdD34kTkj9oL9VKfXpwMB/Ne9Bm0YIUy+JPuWvEV03kBvUoCaMxAX07eWzZ/QBrr2bZIm9N
LuzdIcG02kTxCsw8PePj9D5hT6E8g2uZ5tlI+GszAsVrhB3BwqkbLigbydnWymg9WNN061lQTjKs
+WEs0nsolz2l1nP5pM26e6PRevW5m5z6vtZ0ejypdfcfuzlX9ypsi/wyUGLwXlqOs8cEOR7gubga
zkuveBM0nN+DccKJY0r/TPJ9aFYS5sh7ZHo9+9QMmzO7H0jxrdWH2TqUlvfNy+cGtHg/fgtjQorg
uCoXLUxr3HXnaqrFGSfieONyTMy/4RilizzVYv0uGxiXq8oQL8WopTsWn6a79RlB8xujbOjBK1W8
WYxfjxX7h2jdZWP5YVJw/21wtfGVfWFfB/hDfDRgpJ0VCWK8A8k0N2dgM9ZtlNMFfgt10H7UUqsp
bkoqtrJ9ZlQ2rvlEG2g/1WPvFUcv+8a086ddSoG6eRRGZl8rrR3uUaW9R70q85sykYlxamXoPuWt
4XyZe54gifouOxUqeqV9Rr+Hcg9RIlf5dFspeko9WM17mGrWBlSecYojUx4GMhvDd/9Z4PSjrnGP
qNps67WI7utZU7ZJy8TcPU0AsO840eAnnaKugVqOKtTeFloCmGCOgAtwl2xyWj109gO9Pquc7DK9
yZ2cerxultU59y3lU69FF3HRVRh0B/DgQ2jRuOC76dFfGlEPXtjL8KCRvW33GN55/rEyYjc9OKam
zo4IY/Neo6xaUcuZyoGlIH1TbHtQioI65q3TVp5HGVmjbOQM7xkZ0lfrO9FNUiKhANseh3vD5Dh7
pO/G0W/GNJ2Lje5rtcc2unrAw8UyZ0411T+ENJ/Uz1h70MQphk1pjFiRUNQ3ZcZX3o/x+IyGGG4z
umCJRDT+YzgV4j5lconWBYEVrABNstfs2dr7jjchKyXmnudZcaZItth7bkcQ1Y4RhdRQ5YGWdvNN
F9osncrO0k4JXotmXWOtYh/eDe3XycM9seLkzvhg6XedGpMgaUMMwTkk/456RCmIULCGxcts9M2p
SBMaejs2/BmLIHa1tYge8XXHES4Xng6zVk2HWbEEuWkrWm3Q8ezU3yOMefxYa+lYrA5iW15MM9fP
Xudat7kWW0/2SAv0jv0SMIVKZNyWCymoAKkpWD9oHlQ/ZQwsZCoFCW/jq77/NFnpCJiM8+cxNufo
ymOOm2XYjs60GsbYivZ5orN84/zxVhuFf1KwOy6zXV0a15h2XdLTGu5jMmvL2bmpWlD5Ze+cmhl3
SWnihRAYuml3Dk+j5sxvPDDST5Fr5tcazXfXZI2BOczSsgPcWXiYHGWaaxRRxFyxEGZXhocCBxMP
qHqKQcHZSZsaG72zAGpAWiSUYfEg2I0TY/utE0t/11Wj6a/GaZrPGeuJdSNV9bXuFE4+DV+xNBLW
f5VuOs22t2iODYy8SH+riv3mxPOLssPKg17nSk4Hm6WFRBDv2mOZa+njD2fAy58Sw4+Bz58P8X8e
rMjicoQHfQTs6xftbZiLsgpDbTxQqDBSyxYB421UY7u/Uap+FhiX11l+vgZCFZRFmv5+eR3D10xJ
KKk/zH3Zv6XLEx4aDCeCSHl4dCYtSz7yYcZBZmMW9n7z6ubyaf1TX/nz5V3UTZu2V063v75NGqIz
rW4tCmhaanviZRAwvUJs7WU4GMYuv/caq9lmla0+wxikOoZpYtD9x5npwv4+ZiAe58vgUQrm/nm6
TG5VHYTVTPVR1yP2/imM43qlkSA9d23LrapiQYeWjcWF7NNvWF3/+oY4CQM4NPlgAfI5y+f9g2A7
W3aMBaSvlwp4MPVNlkAVQnemTqUXA00G3MY96zep5X99UUuHnE3UickUmtQv12QbhpE9ZD58hCSa
b9CSmaXlZ0Ikx4SWyLe/vjJ/TuwtPzJeDC2MN8jfRFT353cY+ZZZ4imRh3FOYCe35hX9dVvok/zN
u/rXrwB4H8YQMuSIHACRf34hk81yzV6kPCR9YcqzbdQhD87ScPrfqXz/5vND5+QUuQid4H1/+aFF
8BxSB3f5QdqGOMV0FKLlTXF0g/phkcUyLZNqoznhnFfHY3fOSIHYF89w1jyI4isxPaa/2sCpAlok
nPfT9/mw/T4r/vWH/y+fCdl0Li1ixAYfC1ienz8T1tyRbCsvOWRxrLuH2uvlBa85h6X/9utAqnKg
kC9KEtXAP7+OaOKuiaI+PpQhh4EASFeZBBHuiT8j5f8jCj6q+uPvf3u7FkkZJJ1sk6/yR42PiAQg
7IWl9F8Lg4/c8vqWb+dHKYHmHK5//9s//9g/5EHzj2XBsGBj8Bnh0eHL+qc86Bt/GCDdTDRyfp1x
iCvlP+VB+w82JgLRnD9CQGvJWXdVL+O//800/0DJI3nMlWWCogGE93/+909oru6X//7pGfadxf7P
2zsIBTK2PMSAmwmaDbhj/HwZ1WWmMdEa/d4ObSIZGREpbfT2BevcFf14ryDhotUwxYvrHOcfGuDH
ZJovYCNfOX7pzIPAeDilXzn+YPjBLLCRk+gDTTPIpsim/JTVendaqk9WlYevdh5wuRAKugdpB7+R
4/y+XGoLcYoQe8iA+SUcKlTlvFZ+3WxFrx4qW/8oMK0YahE5Iod2B7pBqZvSrnZk3eFlMjnNa80X
fJsRZNph2lMgTWyCHmReNRq+JF2+h9tzA8+FSKIciTEWIrpEWugHtIhqG73BP2+QxLqhtxEJLrWx
gWi1uInLEEho7drFArhVz6EfPepJ9jbCzM1orcxXg1TA6PEebtJpCgNZ9US3ekUHt2n3D5R37rI2
s29qYUwHM3N68i2qCiKaXbEEGVDCMPSpaaT33Oi/Gb3PCBuJjdFa7j0LZB3bSbyJmy7bqQ4AcKk1
5a2bVhSrTl34bgGx2QuwokeCGXUAaQn/zuiTJW4Nnq55JN6lUF/ayY/x08MZqFE216ZPe2pdWvV7
L3ztNhSDfvBHgiaJHNNgzh37loRPv3WK6iM1cNRp+P/OLWiP7RjBierxjBA1RwbKaG7YZDHFZ6id
7bEpJvPB6+ZrXRMgq+Cbnse8z16tSr3aXs0OOiMY0vlsq4pOv7GbrN/UFVvyWWHPywZOnyUHQLfy
v/iSMjecUXTOyZzV72i4cjMU+rFycX/yu+hrq9v4lHCSTYR4dDGNkZGWBDmiKXnsyFAFGfbnTQc8
DspvlD+MMvbWCCgZ8EJOfGMSk8eo7SeXDMDGJb1wyz7yhevV/5j0Um50rSzwt1dtUEgcgUPdPYZa
+BirifjaRH5x7p5TlluIC7j+upJ056TZn3MssftUdg+GU0+bbBltRGp126Kv5LOO2ZZL1HvgzP9I
G9iltDjQYc931gMxcyItGBoI9ur0uX6fq9PvM3YxS5yO4RJYod6tvthiqjeGo2kBYYP87NOquqns
aDwUCfELwTV4jmSHqzGyE/hZpA3yOOZ25ne7Wda3SzFMTJ1sa50APKUPXWp7O7M21Upzumcj6qZP
hV9ExxFe2d6QEek7W1Afl5ookGQa8jRL1vyohs3oqEGikZFO9Hst/NxW9bAJM7O5SWQXHWc1omki
gNtIt0wiQR+2H1WN2S+iEI704ezfCRjO99G0PLonupAmHt3EZMRRYMY8621INjNEfxf+mNyPBjZx
xUP1rHNG7XGtzF+l8veJnFH6RrfCtYfIsKpn4z7MJD2JGk4pbNrVlo5VuuC60F0PIoqDTBIBWpN1
JcQdO2WOv6Io8ezqIiCU27+ozhdPfdS7ezJuONV1GFqaTvLHGXSkENuND6nbqFPjOsmTn9TNTVQ1
wlrFVCE+5DPSAC1xhGXwNryI0nzR41ZuK6FWUReV+7qbLrXE8DkwlCyNPWOgMY7OK8hlOG0nBD0v
1lYuOIP3BBXiY+Dce3Zrazz6Sox7KZelSlg7LMzzbGvMERCWvL6jQvlEWscMXDzGEa2ytHXhr1NW
tUZeO5Hrp2/EYCMdsJMPg3qI3ZPNGQzvRljfhIZMzzFLVs5o/U0vkmFX2LJ5KfW+X5ng19liqH4d
K2r0+oTKk6IjyTOkc/o0+Pwzlp35A3um+4lFamB61ClXnMcPddrf8xzSKEUJ6YrEFvgOQmLeG7n2
GE2NToylpCLVLOW5yjwHwu2cBIgYfVCayc3kxbSpRXZ176Qo20Vi96vWcBExOZat6MdZAmyGghzJ
Nu4A+bIPpNY47Oe9Yqe3WUuTlaxWNESy1SKfAYrB4i6cOB/075GURQ5kP+Xfs8n4mpgeWfgUncT2
O2QFvYY5hvOdsG03b4Ye02cR4k+vyvCZfgeeisu/AZaehV5FSqCSvvniDXybc8dEwwpn/5aWO9z3
BDLsDitlNL5rUV+kJCzG9tGsvW8OFraCYA50sL03sp3zTO9MfMJfTQilGojmeHwwxxhmpYdO7Wjp
gzsZ9S2njPS5ZpFIdtwZNz7qaFGKnaONZGl4JiB0a/5nqP/UePj1tZq4oERHCq/BipBOij6mXL+b
h/m28BuFA1SkT8xJ5gECN3mH5SftZSrcWkAcSLBx65F+eS3N+b13qy+Da4Z8qLOF/9d0EQ+BlK2g
0CdHWqEvSdy0t8SIgbFTpJAYwlqrcPDWVTmY7JoQn9u5RFFIXWvfDVn7CBdSBnNH1YmQsthbU/Wm
a9yFREGHsRluhHTeVcneyXauRc++PJRLxNVyrt8HuP8Zd3837jL8/dWo+3/La9y+/a9L+3b96OKf
Jt7vf/LPadez/3AZW1l7OygWP5LKXMGvAKoRBjtkVuIL7f0f067h/2EIjCLoHEzBy4D8j1nXMP/A
JoxPh78OlQX88S+j7V+Nusaik/ww6TLgenA6faoDPA79tHj9POly5WsDiBe5bcnadp9iQDaPs6uV
dUASXZy5oXskF4yq2ZY6jwsbRsoml6yIfvjY/o1shP1l4Wv++C/hn0FPC74PuD1Yj77/S39QIHRn
EImm4BBSGNk9Z57qg1D44WFgsfrYZ4l/MwmcvbR1FGFFeUfVk9OmhcRIJ2fP/0q2WBOBiRFT+OLE
hBXLOFENgfskYekbOhddqvBAI68ZsFjoqcugJ2+VNvSC241m3sddix2rMcsDAT+QuI1G5f0U5eFG
oywgsBxXLbDrch3rPYkt03bNrRSUbqW0955EnzkKMz1jVMrvX5AQk3FoQzG9VVppYqCy7wAP4gkQ
KdvCGTj3m+7o+a1j5SEhmCbHHD9RazwJCXdSTe+WJecriS/nEYs+LBGE+aPMxu6C/ZabClF5mgSj
sXqXrtcdEGnaM/orncEVaT8Re/2Wnhl5iUATwEU3cYymFv279X5KNJ4XvYielM3IC74DAzXClXg1
2Dii0urmUzz62pbVmnVIS4xu82CZN00M+pXfou8mNxRBxbC/J3fl30SaNR64uxtBq/JtqSLFeqPp
T0pqyV2f2NEGbHW9cfsGT3WP2Xqr3JG0vrTVJnKEfHQa4CA+xNXABcH8KS9H59WdvXDTqq4lc6Lr
jAbWzFtrLiStFMcUbbyN4Fo+9uOkvbB6HEhzLvgOTCeAmMxk04AZACjfDtemSL0Nd8zy3i48GrZC
ofW3Y01tCvxhOzCECUR8vLXjhp2tdvKamNUeK/7toLtnpmDGRJ24KF4IXJgF8CDNadlzZyUuLguv
ZdcJHNOxyvcCEmYZztm6wybdie7CGlswY4YNp5mOKsmiBQSEjh/UkpAocF75mrBD3ZWdrNZzFJGv
K7X/YO1MdyxV1u36QuYKCAhAsizd1be5sm/qD8rq6HuIIHh6j3V87pWPbNn+YW1pa29VVVZVLoj4
mjnHtH4GSzeTYFubhwpJMpUXz1PGY7VDfFpsW4qe+3/J30nPdFnjpv9AtOfec2uVuSZkYvN7Ns6T
PQvncarUfLNba1l3rZo3muCSFSHet6wse9yy07Jvk3F8An4gISBAFPXGON92C8E9lcAWqzDyPdKf
1DeA6slWuJm/rRHDH9POJe0gZYsILBiFeDC2h0a37XtZC8GnSf5XzXwJW2X1V2j2CI6OqtfYC/SK
bJtgw9dAV5h28qDmaLnM6ewdGx9we10nyFOIo0ZOWwXsR6wo2vawm9Z0knRziQB/NVoh2GQDNQEW
MERDEGk+03MU6BwRkncNvfXGamf0mXVlqkM+lQLrYBCzD5nlLRss8axmvbZrKOHtsmD5avxryLx2
n5e12nhKOtckTG8Rh8wWleHNnvCup3rG4F5PZ0BO2S/T9CkpL7gJonKs1060xBfjaPu2BKL7TDj1
D2Iq5alXqr3W2huPS638ncXc8Dbwx74bUOLnBC/HNyUPLoN89A+jnqZfPaFvz5zM4bEMmv6H24Eo
d4IcvHpCQhWpLmiU6I8SWRxDj60TDz8NRTBNBr8yJukNHArEJkPbTbs4LfSOdKSwfaiVTYTPBKXn
Ouk2oU2C1ZsnSqwhQVDZMZBN107dB+PG7WyBbnJSeDYdoRFNZvE7EKv45lVZs6xdP2pc4BEln3OU
uaP/VTnh9GS5DdgS1x7696Frl3XhxMlNjn114vJT11ikBjQ7CqbBTPVJmyr9ap2aoIsw6Xmv4dgD
tIBIsltazdaYgJVZXNK28E+EmMTeVrTRH1PIIjm2dU3kxzTWp7Ac/E8vi8bDkuNBYfaA1qpG3Lqv
vWDGcxRG7d+sQSmzjZd+/MsyjXAZtYyflRNNh1Y2tzq1PrpZD4f6HuAaQaNB/Zmxw2xLDAUrIyOs
7PZCGxvcdfwSt+2nV/XlMcrN3dSkg2Oss3BtKuw7KRIbdnRuPNNJdzEjmlQj8K5i7c1HmRsVXdoq
doo/kr5yenbyyntJ2kbMu5HpyvfAq/Adx2793pSpde0SSU8YN1zQzD/43apo0W8tXBeLSyrG+qDU
Z1FF1tmE/hxDE2N1LaVe5NofcenYmdACuQzPf8LK4rkmOhN1V10Pa3hD8q9jXP+Zq3AIjzpgc/k0
DkNzHJGjv0ww9F9ScMRyIxzK6QdFTfw3qQY2m2kWyA/W3eKX0aE5YvDw0UYpeUZxFv4BiQVVMXbt
/GAxb77EuTenpLhrODCpL6/1zHe1KMpgD+cKXydbd/lcxLL7grbdPXuc1i+m6roD4CC1ozl0/V1b
pKFcofudr2KJxcHzs4QCm9pFe3GwGpUO3uHvleFtIEcoP6ni2cJKeYaMgIDEK7DI4urD4R7Znf3R
RH32pf18cld9my2giXAVwJJuJv+HtIHE3XLmcXcvWo2LZChDe0ucNwSfxY0cYs1BJzDMS55S7evP
sm+dN2Fp8YIaECqEM/g7l2od356VvMHCTo9UNahYWbf3A7UWAyVR90TBzJned+j4zoDzQ6SGofXk
GwLZnG5inqOX5k+QzSSZkFQDgynBXtvPDngIFA21Wsm6mB9MwZphuyzGJec8VSyhsVJhEHAAL+sk
OcZDM/9MkR5smt6kHwkLimsgkgr+OwTrGgvlGo2Ou14U92eVd2soCeExrVhXTmMpN31Hv70WdmVR
i4UMYHKmDcgAqwG/ccxK8dzGteVVJFlO7iFAp6ZPtD3piXKmATLt5OkrZYN89YYJWy1Gu1rjCwic
x6LDgaSN5FFYGuZXeS/6Z37Vzs/JwOsRxpg1+/QNJIngrJPBbNPGJBXO/n74bGO5rOLcN0cnd8cd
gqKE60hEu7q7owNxN+3jZkluajH+bvR4Rr20Dy/SwsFHkjWKC2/Ven8gKcx9/YkU5Tv2A5RjxckN
PnulBbI9BdHdm62BFPGGWcl9dIUTwKgPC4DgI5mv+VYUMSM5MkbChwbF5LI39iRzmNnRPkQmtkmK
qNznwHsO7ELpQ+0s3Di1VN1Dk3HYhj7bameqgPTGtmMeh9kGOdQ0i3+VmJ8fUz+1AOiJMj+Taly8
/qPZZsVu7301lMd8IMJYpakYtogwzR/lVmWwThqdf4Qjm2RSYXNcnYhExTq3hWzX2hENEL8qdOft
TBBPHq98hQqlUT7Dm3CYs3WetXpYx3EFrW7W3nFhh75DmVVf6mCyH3IddC71bfE+N6lwTypRtONM
IuNDFMddechDJsa069PdSwkL18YAKLF7HJRQzs9pSMSjp12SPHoSk144bVKfB3dCFZPOKDQRq6D3
iNWpQBzfk58jkKNtKXru0al1ctG+T/LWVFrfi47HYa/kaJ1IzfruhBXd2MHT0ZvFLf9MdZDcCk5F
bv8RR1E/e3QPhNIbcuJsBsYlhLfBUvY7No/okQuuOze29s5RZI07xMvTzptdnom5if+iNiu3BavF
G2A4lwI6QKLY6IDYk6y13hm5cYYYQl4gsLU1mkQ8q9ug9LvnRUtcbPPoioc+ZviE+mr+9vMyfsLi
5WHsQW5RjT5lmYMHeyqHP72HyBj0YLcJfAbW0k9iik4Yrr6jH+KeoiDT4iz4hLZEpwdbJe3mrXUZ
OksumlWJBHNbZXFwNWmZvjtT/9C5ElggzuN9CfQC5yLNzaX3k+Isiz7gIHHL6dDQY2xIDHGPtueb
Jw/RIuGzNWFM5Zt0qz9WHN5GBVKmcNICIV5h77K01ohwiLTuieFpApxj0hmXW9l11S9kbNOtofpC
ixUnlxT53EGGCWAT5yfxa6txHL1dIfBZJrM5CMtL6aUWvYHwUO0cLiR2LInBJQvr7SAz9MroFbFY
HefMP6VGgiBKzsWSyWsSJM65DrOemavQTLJbH9qgoyxKxup3qLvEYYasX1tepp1H2hxAKxxjNmvu
DXyo4gnntDzGfeKdw3HynjynCk/KZmiLiizaBFaY7WPe9vNkArx7oukdStAa6eRUYlJA+rW15r7c
NP58iEtJ5EqfncJi3NspwOsw3dvBXcNk1rr2EQc7UXaKKweNnJvP5x4VxcZI7ib85c10dIIKNg3S
L9RWft+vq6L3UKvOBy/rDgTyoMPxGBoxSRvAC+blMV4qzj+l+Khj/Fxr1E3WFseNhXKriz5tv/VI
IDfORx9SskcM/U8tSJ+NYzkJKh3f2/o6UodF5e4PcLfiQwZL+0wFDBgjztR7UcfNUdQtemI1+c/F
0hWclX6IsxxI7KUf8/SaVt2ytSnafjmOQwvttGxEvLH5DdcTopI3XmZ0wUDQ/I2x45/2zN0nDLKi
wl9PmfXa5ZN1do0isU1HhAKZMjjO7hRdGQJHL2GcjxvIHDkaVwpYdY8/GHAQbPygvdz1w4RoNBtp
I6pmN48zsHrO1VxQJ9T9tyNrb1NZBLMgvrGOg3APc7FYJ1tkmFkdPT6M0TiciIV89hvwLiE4Htfr
Hxr3o4PnORX3SWy4c0f5VaT6VmvbORTp/BJGAK+s6hmQGawX534tyQRbZKOIme4/+iT6xNe/cVX2
3TPYQARedBuYK+nzXWl7iEbJwX6ntHqFdnmO++YYhcU5hLV9SmZvOcs+Rf/sh+Xhrrn3TIHaO0/L
Q2zX2VGPZbIXanqxRZ2t2CGqtVvS4AGmQDXrU4Yf4UTLAxKY4pdw8+ZSTEG+rDMAh5uc9DmKdOuQ
NrnYgFK190lUxbumCOLzXPrV1oqS4RAh+4yREufwv7Ber8I5YBoZqiMmynKfBUdnIgAF3fsicCi3
Tua/tW0wXmyM+W9Z7oFPQ+0abX38DMseeEYFQDQ2ADLDHM0/XuP2HYpMuQkFLcoicdeRYtOe0wZO
KCbWx8KHOWV8fr66Z83kp7Hq/tSzj56QyJtqlYR2veWAP9mIvLreqXaMmNpjHhZ3lNVcbFw02NcF
z/FGBq79S/D3g9zKQncd1PPd4x52R8Xa9hF5lL+LAdNu6gACY1K2W9XN9k6qcT2JGB6D03wKadnP
Ks4HOpw5Mk8VmgyGwJbsd6MfuntNGO5Ka5tvfREUsK91BPnESpJV2/uXqva8jWylvgQmDi9KNNcE
9yw80z+g+lNAdAE8/BfIMaipxaPJQHeO2U8sqH9M0rNEsYkY2rD4gvXuSzA1g9M3O65Na6194Pl4
vuxtY1X6YSqUQ5cNLZmbC+Gof3CwMGpPbTT4VpaSKArDhhcqqLbctn+kdh+s2mdbFywH33LOfgg9
hFpr1yn1RXhHQiqKEMWx4zp46R3bPIg4/ZqEu6x76H8ii/xbhZ3h2/JFe+DHScKmbAloII6ioxuj
RLFeQB1dG9Gh/cNVBmFIXjq3BxzsuwSa8E2SdufD9CWk2kql2YTGea8CbN+5JENs6dMdNfS6h5Nl
2LfDBXZXiqt5FQV4MIoJZbqpJCgE9yjT7FgV8zrV1WsnM8pLX6+zTqER5QLfVXGL00Dsy9p8oub0
eHuAhWT6TmsrvXJ8ockeduRkX/NYgaVyxkfNjnwrRJY+poN4Y9Fs1sGMUtYpbepFOO67wIGjBgR3
h5ATSmgGc3GWjvcwgz3dhCXw0aIHKgjVc+sO9laioiRMxlEnr0D5bJ9bnWW8jvXLlEM9U/UpjgY2
eMP0IJdo7jfDNEWbqXGq1wTA72dUj6d8GQrwqpALq3YGl1XOe+y1br0tEX4e2TROO6uQLH+c1D0U
g6MeCaBKfhDTR6ZaIL5p+V8FMnz9iC8VuPfvgDnXK9zL5uhQ+h5TJkOYN9QFbTgNtbwTPuYgPHgu
NNtaT7ekYtwyTU37LhwIhEVu4HxkVohuuG3vYSxgT7vWtBc3YGJG2xDvFJ77lyUFRRfbC3LjxSO1
JXdld5QyR7BjzUA98fBZAXvHSOczHxT0lRYh7jZwAxOtulZkb8qfvQees60LtdnIeLjksQfwJreZ
eh2X3A3hgs3D5zB41hGHcrZthE0GuL0Ev9olHg6Axl+iOMeN0aR7UunafR+1xbtVM/nu/P5xEjV/
rgyHeUF6xMaKwb0l3PPUycpi+Ao8wi3bZ4mBebVQJ5glgIxro0M4Li3Gyk7rL79B7mo4xY8yS7xr
aZMxkKiUnX6OurtbMb6hWtazCC9k+PmgCALZBhs/5+ehVlabtE6ZUHX+74BR1wqliftYY9N4ytkI
OQBlmYcTdKKZpEI5cd3ko1j84jKETX2CmcAufMjyGJtKPECHic2c73WRFj/6XBNjVQh/11BpUlAV
04Zts9pki93nqz7A1M65YErnGvloVC5KmnNNhtV77LbLKm9pPbaD5TivKLEcA0OiKCD4NFV+mQdK
siBunYPSjn2eA+LDwSBUOEZmIwOwszI7xwkUWH6J2NpuNl7o5d13wKU+glvZ/R3SltIx9oaL7mmY
aksgUK998M2yEfsOXBw5xzUFkCM7h/3ixM2r2sq/2Grc9BR/Atdfv8qZUlyi3ndfUOElJ6Jz3VcO
/vo2SZHuVdIB1rD7rtu7eYVSc7ZhO68QUM/4kbqWqy9Y1sbr7rqEDlXuujFu+h1KzguwBbp4c53w
OkU+keNG149518i1M3t/YmSIP23hYOUnOiD+HZdZ9UoZ8oXFB2VL0T+50/DqRgX2pPvAa1pYWy+m
3aEZGc7zbPO4+gy+kLIrrIRL/d36YELD1iNzKQEUrJqRp4jxIInMxfJIcjOkKrsETmSCkLFZ4Y68
Wh4DOgm9+x6TifetfQgLAZa6m+E0peObMig3bLf/yJyuW/cZ9AOwFfJhGZPs2VhD98NL4PWs7DjQ
e5yCXreePJAErU9jkyD2SKPoiKSTcmeCtRlO5znLsX3JOT8ZN/ibUf6vRF6NCAoyttNc2fco5TB6
RdrMZTIsBSIEdpUXucSPUwB8GfPIUxqE89pRJXjJ0f0FF5aH0ccRMVfUxn2+iPOQG+sbpUKyjf+h
hnHCg2zx91EleWujSoqwSLTQwuMyP87KdQ7curTG7imjanrL8bg8uA6PXx0A9p7m0DrQ2Glg2uXT
mEnEWSym4D2PF4dCfQhHtRcLU8mtcpfhCKfOelBmjhhieK9pK/ntior1Sl/kK5zdajOx0zaYH1aC
CPLRETdr6eyLEwDjQa6Rn5wQWa1TFBGTIVmcx3p+dlwoSHEPMDnQ2jnhcXgBL+KdERW/2LxEK9vX
u14F0XYey9emzB8M7GTgGi3CGhfDFZIvIojW/gRRGcbMuHOpcDgLGY162zFSnMlQ0Jpz1IgxZQrQ
ezzMGvWKIzmQwYy2byay5G8YtUwtG7wKFBYYLKJ7iCuP4caELY4ysxTAbzgWr2M6YCZbluVkRoLN
QkRJ66LN3/xEPskBOdTkRd8yd4DlJZeQaffe8wdKQSOeIuqic5ZOLNIxJFT9u5nyTx8e76odEEJ1
QP2s4ikeFOInFiwvPejFtQsM7lnYTX8GqjJuyFFK331AUQdMUJQ089Bsxj6EbO4Emy5tvW0Qtta+
QkOWTE8zu6ZrotMcGseivyvwLTEQ25ayG9ErwAefNyCp/YszYb2DKF7ZWxBZp0R5eKec/uhIztMV
GaTZPoTLRLdCtQAJ1XCdQB+p1zZpTIwcJQSRDqrfKsCY/m53KV7CYGr9I9k89U+HWQPvz+Q2F75o
fqpD84ZaZc+A0N2h8fCvkSnzYG1BA/61FBRm3If6KdOLOiboEXF+IM79JNrCeqXvF5eFR/l9rkvi
7pmxo9yZ0uHGuTB0/K298gfODPUrDUb6OoYGkWIpVBT+ch6wQRVMb73p3QdVcVPWzGtsCj4Edkw6
fYgXnRvkZRllZtmK6LV0JKFsiG84rmC8fWk78N+mFJXIHmSUf60Tv6mZZHpeQzUIwyzxQ6tei3LG
kIXjR8OPCTOvBUsUZG9Tqfsj6yjKOAg42Y6O2jsEU5WhZWpIcMXCBWMvKrT6zIP6FzxXaw2s9hdt
uYWnNAPoaHfur5KCj4XbwsBqZeWMRAYSFM/KHTNOioZ/NlNbD1cDdISS0vY/QU3wLvHD9nC1hBx+
itLNcHqh19i1k/JhI4lmtyhPYi1K5JUt6/xAvCCWSMVOuJd63LVZ6T9NyA9524OEB6UL+PSmVIqD
ZcWENrDdWENkjO6TLsyFg1BknCFuBNLmYjXNswMG1Gc5e6whyxipRu5hO8zjvLyOlpxfmKylxCpX
62VREYxvq6tGqP3yzspdcnTagZyB5zix/7OBxqm2Xml3p8EqqzeMbwCkmcoegrkUt1JbxbAO4lCz
inbFWpCYPSmP5FORQHDt52zHRnHfaR7gZAm/69ROdmEX5488+N12saLp2LiNe7NV+h0NTPRAlbiA
m7X68lqwR4OXdNvCWx4nEAwbt62I67OXaYXvyqzlWC2bzny22aYY7G4l3OaBjWDDr++ct6TtgDMV
/T7KwuWdJFt7MydNv53ySQOocBAklf1J1KR9YjvsD3SB6W4QVvw8tWSEBJP8McdjamC7I7O1wVtf
85Dh18wI7NkrYpzOee17ryybMC3iUHzStc5242zNXwhk/pCKgQI+ir0bhtzqnQhNTsQC+lYQRdnT
hO9tr3xZVmt47eAu2aLIZQ0qOgJRFyu6jiLPX9PJHp8Dl4XPlkTBRK2hUWRnUKOUBEnoOZtEcCf7
iIriRcwvsykcsuwnoMVzRIMGVZUN4tF4DavTO63sflMHNB4YnrFbtQgCVq3T2e9E2JA/M+Fj80ZV
3hezDgGHWm0bv32lM6NKGb1+H4LjvOY6V7vKwMU3hfuD/Vt8phDJLyXV5LrqaGhMVsmzD5oHfVpe
bg27vyv8a/8jsJZtldh6l2fCQMMag0PRtj1puU62K6bBfk5RJe9ZMjDmHFvdMrsxYC7HWscvqZqB
FvBa8lVZCgZd7Z1ZTTuPfFc96gOMv1cnnnx0uvZd0rYgy1+nbbhc6mUO/hpTV+We7Qs9IFu3+aT7
KFsTmsXTwyz1NVm86Sam9tFKlk3NNA9M7iiPXhnkEXZdvzkndcIwrrNhNW9Yq0w72EwFUdTNX5zS
DjFakpVK0Ijpd4l0YDdaZXwQCdkf2Opbd+9QKJw9ez6UlRm/CyyEzjZSlgam6NfZO5/vD+N2+X5m
iMDVxV4diLFD24ayWebDp+3lKbjqDBundlK/X3mM6RjusL+zN54nLCxyYpJbXUhWir2jzmYBxBV2
9fQ1GmEec8P92HZBvhpTGoNeNOegvmMxWzCBBZxDTf3fmTR7HlGWMy7OB3ETCSf02MDzLKJdpnl+
K9+8OaVf/F6sCrFv1Ae/2cBFF39yTtmUC0yJfewyLXI16c4YQ0tculbzabGQvTVOh6+oromhzR1r
Yxei/aEjnOyrOVYo0OdMMgqmZvjFDJTOw+3ELSE3YoswKG/44GAPCjEfG4LIyAOZPfucVKREzPnI
gskCo1WP1lfcz/2PKKXeWMtG2Wemz9w2KvcBfDGspE3wtATS5OQHNDuo7Jup+2Aw9AWP8qcmvJZr
XPZvwk3LY9YRubDiOs0+HfrPj9HYrHUm2zYACKnT6TUGuil8jkVIz0JeBUTnopjrp9BUyzquQ3kb
qyrYum2pD0tdqGXNpG/cOUPSeLsaM+WCVi+PyRTSo7U2pVj/o8EpGEvslqB/YuMFMjhrHKYYyIMP
oYXRb0mtkEys2X1Coq8ugcXmdeQ8ekbkYa0XJv0bivb5sfQT7+COY/KZjrV464qxQOuAaoVtD2Rt
y/LUfpju83HQw85D7mIr4+SuQhZe47DWfbFpMgjqqyDhJshqw6BdZUW1cjSGHstxL/ZUolGuXUQ+
9SJRwjchBA3ZyXqLo/Rvjs4eZX6MSXfIkTOgmV62rnBeA2b768x2or3kNN2y360uVuk++qoGHS8b
f+X6S/Bg+q6h35/nn6oUHazIUIdPHsvvnhYJCbOdOdUzS9roBRrR/MgC+44eSuuzZSR7tdpWp7wP
zLJOknJaC5IaXjzDltGI8XNgDn3PAumXq7hj1FHS9HuuUvQuhMveJrdCSC6Ly0zNdcijQWw8Hb7D
7U43Q95llJLhnL916HUetZpxjtqTl7+TUM+OwAoXxE2ZatetWK49D8S6hlcsVpUJjkNa7NNKpye/
gqBdxWFI3ob/AJev2kyiCgFmm/rILEMRcN9WvBGzPjktwpkl75lv9kFQrWMCQD4xQaP6gLT1YUnx
HPbxWzS3+jHtEzjqMV0cOfDJptJ+iuw4f0rZE5ImMB68EG38EEXmbHLAy1k51w9Fo3posMWRkAD9
BEaGuQFN1CUylSnw5klxbYMIaJ2jf4UDoWe2OScJC6PQ8k91V7G0scNkOuTxbH+mfQczBiz33ve8
6s2ZAg6ukZ00ic31yWnkRIQwxtTU8+cNgubuHWbecg2HeFzRJndE3bGoJq1MwklDr9StO6nLHYC6
/EBEG7IOgjvW5IO0Ow2/suL6MhBt24S9bIpX94ljWkF78Yp5y83R7NhJ2ufJVX9aYpr27ZD4B6Ch
jPYg4LUPnFs+jmthTugJYKFFyfyqxmR+IFMLnPkULs9ILMvtksWMpCKnfu4oLvA1GHebkFv5ReBA
nq7SaVbnubIHknqd8K+cRfyuhmJekc3AXR/mcYdknGSeG+ul6APKpQHg3DA1IPx8U5CfsvVrH327
Bt9RpYH75GQyexD1wKB8SUsSmLUYH5kNpL9KzT55lbW1h7+kmJE74M8zcvAgveuZ82wZmBrO/hmo
PZnOpphLdFvZPXHYi36RUuydKFSSXwwJqSHy+yhKYA7KaMIrGoHJPwFPvo+CPmwwjMkqauzxa4ml
+850I/tCn7bcmG0gv45ia7v0Uf4ntTzn2cySzUHclK8kY6Vb1gK093cqt4ja4MXH/LVPp85fu6FM
nxXsh4QoK4LnxjQv/jaOUC811yuLGRPfuqjzyVZosadXOIO2Vh7Hp6kSYtcN3DU0z7X9WJZGY+js
5JWVVbkNm3AiZ1N7w42NgfdSTTTgVmOKl6KxfuZDT6pRz/05lfEpTWZC5oWPZ6ObnW+/VowVC96Z
Vd2MNndiZiEMApQxdot7HIqcQBFpqedlYV28cvXUbyD3tbulZ5DR5hExmJHr/HXzMD6j0GnrVWtN
ADsMMMBHSXGwYxlHUFzDe6j7ruKxpdWndWZawDbKfdbNED/nUdRsQYG3r/hOXrhdqXl8emmuX3Ho
qyBgl5YW56Eo5zepU2B5d/aSZ5UjO2vK2g01cvER5S3Oqs6K008FLDu/sx41Ywfm27g12QtZmVXs
AuBakDvuHuE2k/swZXs3jJVYR7Sc6yjvuK7Y9b0wDRsPvh/c1X332XtrT8NfxDUGilXivyydsxyV
mcg2dc2woumKTm0BQUaxol/zqsLK8CrN+GQImCsYaTmkpBBJZwo22NX8oLLxqVoIRQebqXYToVk7
1GTUnMAo9jWrm5dB4VpO1OCDYuhcuqrQ0T5NpQn/Lpb0uSmAfBQp3wPpDWKXlbI5EgweP/Q5nhwo
rlj9Hf78yYJQcFUEBIMyffzDgWNdVWyGcQtiJETlX5acQf8FrVie525pQJJosrvL8I6dbWKSGuLy
qxxNwgoFyfCbLNl/+KivHlUd5z+wGqsHX7B0YU6LGJYkzZITKa//Rxrq/2+5/P5P8/Bd/Rn+6/0L
/2rA6aL4GP/bv/4vau5//r73lOx/+R8KJvyVT2DrzfOfAd7UfwjB7z/z//UH/+nS/L8J4Xn173L0
/0nV/b+Edv87yVzfv9Lv8n+rh//PL/BPB2jwb57j49kMCWR2Il9gsfxPByiHHNYS/z+V7/9hAI3+
zcP9yc92UTyjr8aG+k9RvCv/DRM+QEW+XIBphpzp//hm/FN9/n9SxaNc/VcxOi8rSnQfRJ1wXQzL
4Ob+xQ7fJVVrMjdl05ll3GoTm5ZbMIAthi4+3UtiYiDyA1kJLckDGO5GCCL11G2aAPWEFXoksjDX
Oy5pjdjNsQuCwtSc8e+BFdEXhUPEmCacTb8Fgo4hrJHolvzetbe9pkN/aHzKj4NF4/SF+Ak/TuNk
NdOU2klYoaLAC7cufwOg7Ym3c0ZodnDd1dY2mtE3/ezPdiGQaxt3HiIBC5JPuandJOTA0JF+ilD8
33eDPQWvC4bWPXRz3u9htlAEWYrh+iNrRgVSv22hyRkfnUDNYfQ0IjYmCa7DuQa2RnMvd1Y3ZCsR
VvbfNLObZQuFJRppeizvmfgcr9xH6Ig+WRy60z4MY/OLJer4CG883gwzEGYu3lazOes99Z3mw3zE
pVBReLUy+/IsORCr6IXVWje2/UQqX4+I2pVHx2F8DwMebyCjCVeuhKPj11G65pPq945FWVxOCtdu
MLKFAepZpODEV3omr/xtixzq6laOvhIEYJ0Fmql9t3jZ8oAkYHJe3L4R1PWe6ZId4YYi+lBj3R0N
7nJnW0Z2N60XRMrd3swOs8kVysE+O3bD4Nu38P59KejTBeS8vMQ/8Tqkhh5k7DnnY9m2n+4gMGAa
df9mpUcMzvciHU4aX8Y742lHh16Elbk588wmoCLLxrklQZiolRUQ6kaX323gdrJAmsA5MWD/m5sO
c0JRuGvNQOtIAJrCuRQjbewcdxczPVgrEy9EsAVYtUTG2bx44w4OimFa4aNoopjT3kZEU/Ciovmo
W8tp1wFO4JNVTtDt8vhlyMMEW7H6cNF2rAtZX9geEVIb+b+dqjrWqj/qOan3VmlXe/TG7pocq2wr
lrG+Jq4g747H5pkIFuso8XCRNOTxreuABFceIRJR054m2RGPYnnIc6CjLnF4hek8XBkiOCtY2t0F
AXbAp+qlvyHBlfvQq6uPbPTrByUKuFCK8XsSNRg2o5RUK2SNN1q/YEseVPMc9F7z0NeIcj0GodsF
Hka+mlObiNByfiFvt1uZEWGxmZhYdkHQn1qZggaKmnjDstdagRb82Ti5eOkap4D+xdAnQBaxk3Hp
bb0aRZNDMPVKYaLInHG6dqDnUGWndodMy59ey7R9VG2/V7O9aAbPjCj6PB1vcVoOa38xIwvhDDkG
NrjGd4k/7Nf/nb3zWo4bWbP1q8wLoAMm4W7LF6voKbobBElJ8CbhMoGnnw/s3dOSZu/e0yfOxZyI
E9F9JVEkqwpp/rXWt+JpvBOmxb3PNzh7Nd+GATe+sijAwUBMEqfv1xXuvmviYfEzms1A3Q0V4Vzg
qmcBt47FyHkQI59/blYrlxJCWsf31lCFN8Y8m9/aRUAgnnpqPJ8yQ+VxxA/hjnEr+u5X/WkoE2zq
yuCdbxjFGyXOGTwuQA8Lqge5olPN6RTGykl7fzdPNUJsYvhQiQCfo63qtfJ9Zp2TOz8DWsLXlEUz
vCch9w6Yn0tCjEBcA0Pd52597xE9uMB94nPCKcYdUwp/GwhNltrh0t5SabTF1smkhDEKWhUgsc1U
kv5JAHfSymCMA+MY2zHXNKDFm6mQTIzNyJ4e04yo4+REDMJDmgA9VIhtmLhLl177vZHkFcwhkBfa
i5xdQk4B25egLC0fyxsmeh69zJ19wVg1f6+xne/omcKmHiu3uhG9CcdlNIMDnwRWwp56pq07yeBJ
hXYMiXFU6b+Bz3juL1GpgGCQuZBFTN+0BZTtXygXOAdkkiUmdk27Q/SMLFV6mz6tp+uuKp0vqu4F
a1xNPZxy5FyuOLNXD5U0pm2bFNZXTnxhdp5qZVkEsYFXG7aHw6Vd3n16Liy2KYWjvVkTl2DAakNa
JE0VWMnRpUVHXWtRtC2dQrTLdJ6T302+WTkMWUJvdE94qYNLgMr5TRLQ8CoYQlJElZFmWvd2371T
zGHQsZZ4T3kHoXOs8slB+Da4S5jcUxUpBk9dhlHeHZXyp/3A+n6aY4MS8qSwl2YHfXCJRZP4HRWT
LJQup6hjHvuofwwzg2YNqGxMDkJu+jWNRshwNDdbGGF3vmbf6rmErGox09SnwhlOo9fSMrXi5jwW
QNhtZu06MMcDZZ9uefYF5kaKxtH2h9H4Bg1ouuiWgp0irjl/t5DH7vLcw75b93hgps65obMzvpdq
wjUGIC1NGxcc+zxkTLms+poEuUuswgiuXdJjT5XROJvRCeS6R3zeMQnC1GdO/bYxk55ageA+wZC2
7tzXKptOY9i/1b21HxLsFdhIxFWTvY9jexcaVnCuLfzcLpXTG9yw3V1i5lQL1rxwnDcQW0zJuqLA
0hJcTt8s6ZJULoReDT7BMqMiTDukV0lUIjXhFMYOmxx8QT8i2woWzd4rHnEGIMR2LjXRM1N4JOem
G8H1R/S5lpiogfp3G9Nu3rVK3HXbinDFHKgiK5/W15LrzX0aux9+LfRdTRSWWNAwXHU94uDOCJLO
ANNNE+ExGCxBQehI2O5rMYnmGXc18Lgg90OxD8XINAbLBWlu7br6CTetNWzC0mzeJtvLX/qoFPO9
Gy2BKBobyfAC65AvFhUNVwh7zhWeVe9dZUQG8mYcuCO7jvE+JnlH4skbFUzs3gXEaKYbP/Fx1ZWZ
d+84Rv+BYkTNhh2W93YFhRI4Qj7v3YLAfEGQ59LXSQtWcgjHdUS7+KtbBvGdKXqcHxnrjZSKfX5g
NucJnSLvGcGDzAU0/NTx3jjVIhX4saYMUZmyuEiVNGzeTSsxSR8Y+Z2q8JSApcf+siW/TbIjL7h4
rwUHjm7LYgcXJNeawlZWrGal23mQdFVN8VXZxyEvp52x7fvzvLXAZdxNQDqf2FrEt4GBz4GjF5AT
EvFMLLAP4/EFPseDMJDKn8KZ1Y/+CU3exqoePTfLL/Mpd65qUY53MXfi5wE75kNaCmMn2yi+w9fJ
kccx2+qeHyN/sOaZd1embE0zmtWFF6jxlEjh0rsILO6c5DikFr3F3XoRNbN2a79MVEhfJD6loXSw
5Bn3utR/niL1fWwGw1xb1jhiNat2NowVViw3c/d5PunX1pm41kd6wOjfVeAhOzMZ762mEM+RxmHD
OwoiHuIAlRqr1B/nwxiUzuucS3PDpmS8eH2a3aVWFL41ndQPFnUd58zD/0ZtO5zb5RTuHkRmIscw
zWL8YlEftUud2ftAHMwOzBV6Clv0jMXeHXIoARZef7UWup9ezaA1rpTZlATTogyqhV1F+ckQmbwU
g6+YD9jjVxNIQsoz1wVPNDm0/SoLbcM51ZQNcdOwzfjZHtQUoc/qtFw3RkvnTc9m8bLgGO9dFeRM
eSJnjUaHlaRDOt10IqK0nYk6KRE1ht0Fi143bMxp1PiWI0laDLO//QqYY6KPWKjkfULMiRY84XjZ
ACNbSTsq21WR+918Cjhjm1aTx6dJs7zsHNVTR0JFyjlKveEiyXA17MGNzY99m9hQOXqrO7jEKr9U
nZvc9F4VvNfa6u9HiysUkRZjuTwxB+NDEPMQ0thDtJ4sphRrBqbeeYYJcUzx9nD/0aWi17WPofEE
QtBe6YbzQ2+mxvVEGBgBykSMwVhZGN+RjZmedSVwF4Kapns1h3BR2DKc8VLO6C9z4jjvsdFN3Y6P
vPw29THkPzxf+bpOZfxcaQbYuxy99zhw3/hupxTDJmVcSNi2KSwHmfqa5ukxH7Go5PLRKrOZjqFK
l9vCMBm8LiLsNiTQDGPH6DCl5slMo22bhdfMosI7Xp/qSvUWp06va19KqYAdoNhVm5bDC70mqWxe
yr7u5arEnd6uI4MMphUrfWyFwQAPJ7naMKTGUJ75NZ/HrCF6JESTXg+pHR+k4VALrKACHdoqBRRU
+DiF8efANVrjBPCxgiLXEdxkYA8zyP+CM3x65x5DyCnTKV43WU0wMcsoba/aSU/WGkKPvpla9UwH
wT2hPfkAc1Wm20FX9fVAPqW+GXOdHMbZdt88KmX4o6nor/AR66NkSLpttN09D9LpvmuyneXGUHVw
X5u6vJ9FFj9OqmAnykdCKWWLA4cS8SBB6KOdYcdB2LiM6Vwl8tkYBO7izMAB7iRf2tGzLygMglmb
pwVIEvArsGABHyvq+pL2GofRSDpWznf4QvXK9UV39L0xePEtU9+3HLf0xtJGdOSq5MU7SzvFseK8
icNXTuVmHvh0rm17qv1raRVk1Ok0MNfU28Bkl8p5oxmzPQ7SrK8oE2R6GPqoMqIVKuQ+2XACS8gu
MbCVhr4xWlWusBSoDx/Ow9e4KZjEDllQtkyvxuXEyjrxxnUWiCdXeJ/MpYdyXhkQabSrfI5F2fQY
K1xN1G0aIHPDEKjIyllgbxuIPothggd7gh49OxvDx+yczUMP17PIrI2IdM3RrHAq2u0MfAKA6uVl
gFSzL6QHlzgY9DOxxCi/Lo0SkxQ0e9bNJjWJibCeOyfZ6768aZjJYpDiJpzutaTiqzJ9DD1FyKlo
ahKKfR0CRXyYixCbj+zjj7ldrFxBgLM+kHoGklPGOVJIG7Q4vAoETkdF03ShitGIjwGd98k2EvX0
2oQc20wcsl804+dvLg2rR9MIqyfXzZPHsBoHtETbVHtlLiWnluj3nqeBQuMlI2tQDd9popm4ETsi
I1ZSVlSbSwztmwlkMQYB18CqBOo8zCfucSQnN6Xtc83HagcpNvbdD+HHdGZ6YeM+zKFFaSwj4FUc
ehd+OordVBTooV043496Mq8AmIsNJeV4lKNOT3TPZ/VdB9Tgo56bz/ojeV+YGiItOPRhBwnJ4L7Y
O+ndzFCKVHpSPInQGK+KXOiHmvLxI1dH8Iy81uZ16qtgE1ZNdNkVpnsx8sA/TD1H/9YopkPsk+Sa
Ul19R/Srrl27dR/42HMSzsSFlXbOUVtR/4x0KE6lZ80nf7b0IXGd4TjQzUsiyako7pFLme89Z/L2
VvlangixiXMyOPUBqrb3YvLOvdOaEJOVM90dfeLtJpqt/NwMVXrT+WQW6SnBCQPTHh8Kc4YusuPv
gUi+RNooyHA2W2K0zp6znSJOZcA7Z+R/7pv+heKWChxrR1gwCVuifzLfAF7jeDoHT7ihwssqaWDV
d+mHBUl+mVbkwAIyOnYcSNauPVwsRXMHSoCKUxRk9qYHCbGmDqx4JSVUXc4Ck0UIKG1Bf3WHOhf9
oc8yf2P0Qbbj9+l2fkqcpA73NCaF/66o5hf0Brc4QduzCa7MEoRivOWW9wPwwmD5hc1e+0cSIjbH
zuWUFjh1fEXyWai1y0cIl7nnW9jGHAyi0+AfVekQMPthSvtP2BvW0qvxI3qDn8THig40ESKfcJ3g
F5gq7EepS+bvx4mCrmzs+vckdNR824zwfq4DiEUePX6572yLuVR3I7l36OVB1uMVGHm+EzE+Km2j
mo2T3ca7ktIfi7Z5t5RvHkox5bad4T7J3i5uwjDilaeR+zmAsMFYYhnIlcTW3klkUDKJQCyfGH8Y
O933zr09KuOjTSIO3gMUeiSRwUediNPnPoUsxhInLkMzZSgQjOZTAOIeb1uib/HjZsGGSWyINdvM
TyLp240z1RjnRie+VljE1sDs+zvk2ulkaO1cDgUhWAa2xc7RxbPt1OZtj3PYVxZg/2Vo6S/jy+Zz
kjliQGFUauR2smXk6t41n2NP8hyMQH3XNr83n4NRW9DS5gceARMXTZL2UuvJc0wpsQJzyl8Vy4Fd
9+5gb+IY6FY6oBuFicPntPg83VufJ32y+5z69ecNIB3z6cOlS3DLLTW4pn+Ye4LV13SZaHa0vpOh
vXc+rxNMk7y3lJ5UfEhhcDQi+0tMvemxoQUBSzsvfD5PpLMyyOdITtxZKOPj+hIsN5lyudN4y+0m
WO45UaL7ZEuPUnmf1djwiRdzI1ruRsFyS0qw9G9abNh74MfMKJeJ6JrVxHgHMc0lSy/3rWy5edGl
4FzZy21sMhhvS+zW05pZDte1JgT4fO/BVHxxcde/uf5sQruaekc/0QLBi0Q9gXvVz9wv90oge/Ml
snluo8arvhIaGdJt4g7x996hcfvmrx8T+3Po/wOhJmDc4qNK2K6NPmEFC3/yxwd2QHCll43tBNeF
ddkYuFtrlcpN1xKNgSgWHGXQIqThiUaKauvrAPnpjHMSUIvhKX3h9bFkmjYbMbQnGDtLilrdcevB
PymYkz635djAik0deS9gmqwaOxPMAFO19Xx9jdsUcKDqMCooazxbwGzJrzo6+qgMute9tPGIvsj8
liYdzUjfyy4gD903TnJd2dFNWGjrHEfxwAQY368Z3/OMO1dmOV9yMQNBTkfzyIpnItMzr8OL18rA
OyTYbMZV73FAZe8wD2PjFzeYU80bp7Zoh6ihhD9YPvbXeMwos9AD6L7aqRWzNxTEKxYXeRO0nd51
nGT6jctsWRG+dsJx6+qCmkhpAi8frJZe6NJrqq+wUuhfycHZka7sb2xaGR8x4kSb2snI1rlzsQml
pmDUKvzoJUFVeNHuhGtOlTUtoD0F7GkJWptdV/hoFhACsOvGhypweeSEpyjYcFuPbEaZjV/LiM73
dTGY0Z6bMLhY3YUTreF2SwLFH0Yg5+D2bqMxTN5LS0T73o/TLQUdxp1mMsKkgC4cLAPjRZEFwO1x
vVwxWpz5VHLoLCikOuWUnr5SD9ts+ef6tWUE1R2dJcFS5dHILyaJ5HUPzH81AmOUi5KTgPgc2NJm
dwSWI/sXHGrpg5F09qPMyooI4GzSqDZKliatslt4QnBYiPKfXFYp0j1gIWu0hq2KE//GT6zsS2Xi
E1vlSbgYwHhlLlLHFAD+eg9oST6be89PTJ7rMHPAU9T31Pk0u7FgQAE6lJ1oTjpx6xltfKlmvZgj
W7rc8CVUfXCDfWZwVs0iIlmfepIFzB+H1afOZC6SU8tUF6NPsyhRUVegSoXplOVbIIDv1qdqFaJf
2Z9KVgciakfqzH8sPpWuyjYMOsxT8DmrlNUb+4yXNy8x07304AjPiq/mprEgVbOPfRWD0kCDtB2g
ay9qW4bSTLVkC0Jxxc3AwduLOYAM45xtFfLxUdLjyblawiheDZgGF6RblmeHLPCwXU4MMNxNm1r1
ySEJmB7k50xXL+Pd3LWeJd4yypDihzxMn9N2eUDsDGWIqicZzTMphNDfNVZN3aiXdzsXofWkEySi
zqjdQ5NP3dtfL1Q/g659limLgwWLlABjazniF9C1yWQ+ZyTqH8PYvYrDa0In52b8P5C4L7GE1V39
vf9Zsf4UXv+Usx/qkv9+/Ss/Sd7/ezRu31m4ZP+abbx5+wrv7a36+h9Xb/Fb+x+Ht/Fbkf4EfuO+
9/u/8rvQ7Tu/2Q5AUE5WvvBMOG9/CN0+0GJLiJC/zUmQ7QSR+Q+l24SPDMM6cB0XG5v9J/3NNn8z
Hdvj2GiSH8Je+feK0H4++KGmmx73WJjo/CToXb8c/LKst7FBgThTzJOzTO/pZsUDZW9yLfY/vE7/
7JSJOP/jIZPfHSQeqHe+oYWI6f3yvWKsjXXjdhEuKgpz/PFuKomw5v6uqokCh/KFNO26V0+hAyBp
Jlu4hFycZw5lNA5pUskwKEAd/puf6peH5fefyrGXB4Yf79Ph8OOeHuHwCr1SRtsGP3mfyyNpoH6t
aHSxOErOTAt9AxZD6+2CnEBizFUxAnUSxc3e7dfCbn5/rn5iUf/InmY88t9fp8CGf7dQAUWIqeHn
UwbOMkrHzTjadvOQkE4TR9Ip4g5lMbrWCdPgxjXoiS/GAV+4N1+kdYUHanZBK+cjsI6kejXourmN
eqtgxcLtJASwUb+irwJPlFOpV19/FECnR44PXl1deuMqzRXD3pGuZbydBIZCz4C4Ya7thDB0QOtS
jZ+fmX5lu5emNDbMGXaNqDZZwfGb4Sd9qheecafs+o5Gro3NvZfsHLPdaWtwhFNDuAISdhF7bLKy
PneefeD2vZLt82L4NBIqZMZ3ozohQrJDK+eigc1ri0MePo7D+DQOsHOAwUG+0v5R9I+RGo7BxOB9
rPdO22/KruDoG9/ObGt+dlWAGgXXBF1lovc7uqCGA+RHxIGgONOQfV+Sr6XdYac75wBLqlwPEBQk
IL+dwUgGeOHGpsvISFBpRXs5Eu/tnO+a6Wwg+J50lDf1uHNkjRby5AUU/aLp+PSVY77Gu8a8NwVa
RCoqo0e47dSaSh9eHr5NKDaNVHd162LCYPc0nMPQw7+ZCTL5uFTtrN1Y8j3xr+1K4o5n2gtVSqE2
miauLcGTOQaQ/FBi0/tc1QejvULkAPWXvI3wmoV4l7p+7ejpazlIsgUCUbnuIoDZ003aVofAIqkQ
+DuGX+s4Il1shm5zn/bRa+yXxiWOB7Hxh/waHzJ41RlVa43rdmX3UXiDsFJ/xI4kUto0vGgcVvFV
kkH61jFguaWrpX4LHfxrtIssD020wFuj5Ogrce8Tr/pCLdF4xLIyvKiRpPzghPEekY/RLCaX+LFs
8oreQHiDuBtQzqkNZowbITreg1wdduSQfJJeTJ6oocc7w08BXtEFOnio3JJiL03E+zIZm/TMTn3t
tp13286jf9fbpdx9Lhz/ty1e/7Mt8v8lIxiLEpQQ8y8bALjtvfV92rFDJj/tjX9+8e+bI2RUsWxl
bhA4fsBmxFnldxdYYP5mM5CgxYF+EGrQlj/5Y3OkC9S0P5s8MDoyufjTBmb5v+ENZN9kpsKX+mzm
f8MG5ofswD/vWYzZBIw5O6CtiV3yl7XYjLIx53+980Wd2Dtt0d6jOiwG64kKOjDLDdO4bZtbVEuN
cURrrU/1Jg2b2tbGcmcSaxV69rlSFvUtBOXBD0XYWFzfL+7zVBkP7vKAxLoeb7yySk44SMlhta5f
7lEKwq3vNDkiVpd8RSOe6SKluDHZ9AwIuO2jyM5xxVE8KqrgFFsVgIfE9khGMz299XRdYgCa7+Ph
E7RCuAW77coGELbFTN+ekgCYqQ5c095NdJ7SiqZj7CR+MSEqVLaSVzgKgAIOFDzeRxRLPjtax/ek
wiBymXb2LqlRvER4RIaZjHF+ZyLvvuqErp8emeJN4d9Yh1Z+JNDObLp16OurMwuTEuav6kZ3HdvY
nGfbyuDVqWx9is0epahMbBDGrc0VtYjXYkgbSlY9630RIPEy1AO+pj5Ic4CkXv6uPARgVrki/BrX
wNZsqPKkXH1uOIh7hk0Qywa+0LsmA2wnFyuTPAFnndi+IEZlUO6A5Nlzsz/hh3uEcxnh9rE13om5
qzR98NQmrWctK6Zcc+5sKJnxLwdPZW9pJcpvpg3Sad+OE6FjiGywys1w6s7MhgnvuFAmV2U527wO
i2N9TdcrvhHDwTNmeyq+7AMVXmhmuC9Eart+XdJaaq48ndZk5nzbW2NNSJ5hsMMWcEw7OdAOb6ys
ySGVS/g1CNd5TJvEcp2tuHRHbYhzP+SOQvBo+Nq0lUp2ZO/0AcROuPcHf8LbHXtgE5oBz4PvBLhh
GAt0X3qckDfcScU58gioQx6o32LTSbKVh/UtPPUxH8U16knzIYkZvXQhhNEN0fSUa3bWNq8WceNm
NVuem++zrGrvLd8Jb4SwjGgDFig8Z9CnbspEMvuCgWPZ61AH7S05d/0IpIGrHU2exrehQcjaBJbV
Pgs/L98Jq9R7jJL8eW2H6qGrKizwcV8GetUCHiLqA2fbWI0GuRLKeVckEWyqGWgdW8V0Uj6Gnmru
3L6ejw7QPp7bXB5QkgwGCY1H4SUpF3Mj8cBJYvN2/h7zcC1fGiGqiLYo5MFMu6zdgkMKjiMVgjcQ
k0DP2KLQ5lMsCXowDHHA63JGWsyOvIEBgwTOJYBpVoEjzXjVma2yyMUF8WHuEhweEf23hT2/qFhv
ragmJaCcj5qeJVRfukXfMXNjoGJwrF/0mFUbuZDzUCnVA7fY5pyAFiAWKewLknMke13qpdYxqZCt
xILxNHc+jNm4QwuwA7VoePTrkUHH3OXgDVhXSOvMk0nBcuijDHZK9vzc87aWpNZHJrkrZkYtJzVS
YrPtR48hkAQG1A5tBB42n7VhDR1ugb5t5FrFpdwk89IvSWLPtNalIq+/NHwKotuJTL/R0Zl8mf0k
OZm5BYZR9g5JUkPY6tngQbF20nbaYZVLObyU8HZbHhHySyvKUXm059KVN7hxy2kHdxbycTlD4bOM
pkfydllYhsEbrqRcuMBTRYdWD5jwuVuaCThifs3LEa5I1bJOj0XhnZIwX2Dyg4FOzK3ji9nb2eUc
2DOn+0SPTyKK2zN0m+TFGsFhrjhZzFui4cimxP0CAz9maXIglrP/gbugOMRl/2HKJd9M92t9wVbi
5usYFeurMGJgt0Y7YBSqeqUuobaC+KVjcHI3nYVHZ210Q5CsqW7Gk8Tv6fmHISwSegqz2KINywy7
b5Mg9L5W2ic3SSVXLMby0JatvIg8oLwlr5RJ0oR4+qZUBcgx3KVdcqjL3t6J1OvNQzlXIWzF2IlT
Jmaey5lwwBDJb2+KbsNHU37XagouzL62N1aHErVizMviFAL7Ab9RQiZKU70plJQvqY/riKlrENz2
TWs/Tj5IzZUnc9JmSW1/QSOUz/BUAoh8RUzxg0+wmYlW7Fw3fVBde5QLfZET9GSWDY+Pj98RHttN
5DXLTZeOl5Pfk7bF9Bc/YlM2y42ufeu7KU0rOPETJg71Jy5GsCSYgpcepxbnyMLuLnlu3fIQCZtT
dKtc74G1qT0DLM2uCLzYO25c/kZH0EcphwNesCrIWCTrghz9zpB1es6myH+aMlNBMtHldZ4RwC5s
2ZD9q9MbCMBEVmfLAvUBt5hYrXwcYjP/0sCb2FjT8NIwFnjokUxuSF5Q6QGJ7iDd0nxADDa+AeDS
0cqO7WGDqu4c6WygqwHxPXoozZgRXZ0+1LVp3ET1FG3yqfIl0KQsv6EE0lrHoqmHteJ2xo0tpLl4
m5o06hLEtfJkPfnZciUtAr18EgqnecOMHu000Q4kOT8nrE3JOS7J0D8yZkSUL9T8USRWugFPkREs
G+rkGm5vdy4bosiN8tLXtMeK0MTzXg8UjEYpnei+V6Zv0TBR9BCo/C7wFWZfMpgHd0yqnaQhiUxr
ADumUnRnT0NC6tjGLNde+m5ZvhKZmzFsWLbmBlPkFqjw1lyMdA2LC3k/ceQW2T/ImWtNZbQJF0uz
3fYdZRpgoLN0lde5QVeJcPaCBWhd4+N5cNlabonXOPSsKpUDgMupfoDi2L3N2CIIrdF2tGVFSI5j
HSWklEf73hSEia0hpJsTlL1/pn4Gi5cL03NdiNzaM2K391mggyu0o7g/VVygENfNpLj0Mr94wxEV
vQxowne9b4XfW1k4PrsyR4l1nTS0XliEOZmWT63RrN14qIqbVAsYPC6iEvt3SQN32/UASHtU7Sd7
dsMVg8DmJm+Y5EPD9SWe+s5y3jwwAFg7szh5JDmTtDsVBrVxBQEtOYk4mzedi9Fn7yTgkuB2DpM6
hhGlE4d+yryn0eCJrMp0vIOrTlY7L61rZSc2ZkO360FhGywPHpTMvVcW/Qsqd33bUscMtC4e0gts
DPLkJTnPKhiHDGyZM50pU1KYy8k033KAVQhZ4Zg8J3RlxgBgRxpvRJ44D2am5RP5suYm7Bjzaq+d
r4LBw8POtiX0xpU4j1dtm2JPnUr/ay1gXpJ+tqcrY4yqi3BhaLaQr8Z1S/YWzq/vfcxz0FtLO/H0
BsWGCDrNpMZWTM34ThooC3ahg4xOAC+E+Dmr2zHvreH331IKn1Q9MwlkZf/BYfC1UrNCkzRrZETa
+pqbYCnASmT5xc2LuyIpUQKKuDuHZcKl3Ym4iuZiJPAEkz1eI11BJHRs3viImoKnBmQK/OyGYsi1
J0iMw7EInMfMi+Q5tOqlLrb27kb0jUsuL8W5i6fimf5TN1t7pDk+8mlO9nR3LcwDmu2udOBBluqK
Xr8G6WROFzW4MTqXQ2skK1XZFnfmOJ4OSN3uR1TE2LArE0dmhY2mWMUNTk3C3kF4VcmYShl2rm+G
1Xnf4jhqh+2Y5UCNAcYE7cYrea9X7uik9t6uQ9ha9CbtiDVkz7NhkK0EDOjs0HxD9rZkfLRQM+78
yS6giQ/zzZw6/Tfnc/NtIeOteOFx9ao4ugPj2b1rIGOXPoadB1gtJ4tyPg/q/Oi9Jbir8BOKIAED
Ra8v1dEe9WD4hZxrnJ4Y4WAXk9qkw4H3uXDDYWVWIs8Pw5AtQ3XZsWiAyshWxWC7z2ZsUb08yL5r
V2baqpU0zeZDGLI/oPWmlzUoj9u0VPKpDefkayfd8FBUufU4WiYJZD3p+AgqpyP8TfAUJyhy/NEI
xWwc80qaB9Al6DhYC62VOyX9a8IluVjpth/OwPpA0+Ze0AdQArvszJUA10Gr7EMDzBjOKS33W4tO
ijt3gtJJErVqmo3TlDSPQQaegXIQEgewVncXZZkxNhlRD4BqwJK8wfs5H4B3L6cbZ8j2rtllh8Ct
8DgrMt53MZ/Mg4I+8x7Uc/m63LJ7vgOZlg1pUePeHNrhpiys9onesekIwRbyk2TDX9MDN68bixFW
rkeTI4Zh16fOBNdWhzGIZ/xUNaW9RZ29lXXRJgfgKvG1XZf8CnlO+RvPQ5bdDvD9W1QVh8elJDlZ
ZBibSE2tJkIX63Z23VOcaAvXFTVSD5mL4w1s0bwVwUyeEQsVHKRMjhxIauqcLroUkuLGm4VYSqG8
5tD1aKYjHAaDq2mSLZtyWrqHtu94azjGmyVJ6dFV7UXPjvSW5h5ohSqNOpi7TPKIi5IZEJuk76Nx
Zbug0mbVgzPJOw9wVJthAF2ZubfV8GdJW4ItbQEBfC0Di4y/1iV1HADMlvqKpA3WUJvSY0iQ8JuO
cwCO7Wc3YByFtxLK05fSXe4UfQA8CgjlBBwosAg4DpZzLkk3HGxzrA4jDspjNUyJJERS6kdhe7a5
R0qvjwapq1dgRikDUW8ultZ6aR+dtqXKyh90zwHQV4hS/3+Y9ZmNfPi3bZZ8AgRTn79SfMq36lPx
wXT30zDLpNL084v/IfQscg5jKUDtLlqHWJqDfp9l+eZv1CP+oAGR1/hjlmX+xp+wFaA82JYdLBOo
PyKNaECYislBIpwQUSDl8TdmWeGi+v1gXhDLiI0PEvkF3EYMdZZR1w9uo6YFvi8qS9CXk34ffO8K
JOO+8cKHLGLEZGYE2yY6HUeq/PBo3jaz9wJXcz+Er4liJg/q/kSH2WM+ePsmdXeWYWyzM8iDi15x
ovYLWr3Gy0SZj1zm9nkf75rZ3WfQe8yGQxGT6aI5wZ30BiLeiq+V1bnI2gMWrGPuObde6165nrNX
UtyKyLoCG2N78buOE+4G4TYo5H1gNPezjrYRtVkigYVbmtAv3+fifgJFlJV48TUcTqEu/SbAxFae
rUZcVUI/No6AqFPdECHdNtO0BwKzylANJjt6oH8+oEpPPADvPbQquy4jge6fhFx73PYwR/gYshg6
XOwfnKbDNeiOPKHhA3vncyZ4yWJT7J3IO+I42GLJ+MCLsZFNeRYAdn745P0zDe3XeeTnm7i4UPBo
WXxqfgn+MAWxaTgwxJbY3AZX9IrL6DlW8tqdpmu/hZ+bQObOZ39rQNsZeWf++gcQv4p4i2BoUllF
WYcvTMddnGQ/fIpSyfETAwGdSJwJGwbtwdDCTmRWMk4udqLEJs2de3vahLkozY9jlTpnJE7jWAIm
WPmrb8A9WlC/rbemxi0FmwrEHE7/WRftgaQAp6cgNo4mbYXljACFVbXc7PHJYV1omakFqtgqJ8QA
W3gUskeQIkLnJDXZStJKWAA6m0KKCOiVnm8HGnuADFtrnr0nR9qnyNeXoIdPFb7yi1o28envL6T/
s5H/v/xb/wuFcX/J+9jolP96ldzXbz+ujf/1Ff9YGsVvdsjDZVlYDD360v9cGh1y26xL5KoQtB2x
qOP/WBot97fAYhWFtMlMYFkK/2tptMRvAVlvyyRzbPHPURL8N5bGX9yPYvnBUB6wAvKhtpxfV0bb
R4xyC6W2eFvrFdayeQduHE+dleDbAmv8e3f0v5R4/5vk/Pn9+IYuYEBeD16MH58hpiJ0ExWMo/+T
vTNpjhw5k+gvgiywBYBrrsyNZJIsLnUJI4tF7Gtg//XzIM1oukutbtNxzEaHNpVM1UlmJmL53P35
7GDlnZ3wq5+R36fBGP+xr//bVyLa+Muqz+/mYgihHNmhoOxfxOROsq/YePO2bFxMpXIXDiehY/OQ
WFZ1SRX4r262k31mtZSP1k3wCTKhv2fynR7ywOEsw6pGp9iEaYuxkSaVmwZh8+IQacLERafcrZSh
eeyEpT+mgfjWWlMEwfI6+pAc8jljbjXYJd0BGISkn5pPOa5LxFMvrs0T5DJBn5mlub3HMzXBief8
bGVUbrUPy4zoStZ9daMR/QwlzRBpQUV8qbL5PqDQwF5hyQ/3dU+6O+3a/ppggj/VIiC8VzugXhez
Ez9K5yn14vtijleMI2eP9o/MCxFHIQ+ujNDw9hVJvZICmASUTRcwk11pp7FKRvB985VTvHX0tDx4
Id8Hs++sreFRhTHJpwWlWFHFYqsjCcX5FINuvR/HjDIrGlkccOLrMK5ejZwOA19YV/qTi33BwGFC
iSdYbEWrumrqtR0YzXnpalhTKUp6TDCYpXcoizaG9AHvpXTUmcaYHo1Jv8YBUcJ8pGB3goa4kpQT
QCrxbtsiSXaZJvIXwR+2zbHdukaw5TI9wWyFVgMbS1vGw1T39Ej8vahhjPY+3pQNKKCDVaMMp5XN
yzcspsIMv0hvE+DrEv4LHWieYC7DhTRY95lXQA3WgiQbL27JnPZQX1yHjgW6KxsenSJ8D630kheQ
OJZ9fFCLa50WnY1TGPt4ENcybTb+8o6m9lJb70SPVC2EazFan26nzmbqHeoyydaZSV1pNULdHUKi
W9q+Khu0d5mbn4nMdzY2WmSTdm+L5EuQ/9umqnl1+UOv/FviXF/Yss4k4Cg/Sk3KlNUyV6sfAarv
memC/iaHptJ9a0OTodBlW5ErxQDLQHhV41wMz8TUB7FJgJTc1a17G8NLK/qEIhWb7KQ9ZCcRjD8l
ugWmGWwiac6H14zIEwH5xVXfkibubFSS2S+WMDkhzM7xb60pIlKtKOZR+mUMLQkkf1iaUKkQlgrG
px2epwQey2zjWygNrdYWOZ0pVfSvyvAUKroOZWO9MiPmF1A+QWdeLhviD7pm9tQmtVQf2t669coV
00NU/yX/CemdBoSy7TcNkyOi49EVgkywViX5DyPL6MXKeVDT2iJQZeh+pbT3NNA5sSo4afR0R60c
UX0EYVn+42zz/4L6X9xB8Cc6bHr/fmv91rYYzf6gYvS//+Y/lXSOhLiJuEmwZ6JZ//P24f0N15nF
1utgK8Jl9r9Kui0WCMuy9dk2dxnX5i/9z+3D/hvROUwlXECQmRZl/j/YYn89NqKgu6bjCYku7Fmm
vVxOfnNsbIs2kFCr+n2VtMEj7svpjoJtlCiblPaHEczpaRA4uf/iuGpK59fN1gxggOA6w/bK1cd3
f3nlThPiH92+x9nWqV3c2G71nlsDIl3cm0zNu79P0BkYda9ZlVTzdnRK0LS+l8HLVukg5F5kFWql
Rr9+U3hf2tVkArF0zAktx2/smpF0RW84IGjdoUZSn0evn8nzh0OeM29V+tOHzaDUbqeGSA2+ozeA
F+P7hKD5nOPlibbC6vvrxKSb3aSFkB5HGUg2v1ILDdC0uleK7GKso0AM/Tw/OTFRqyHcseFKZvvF
R1KjJbT0EcylWW60Kn8QfDfPmvvMNehSj5C0hLigjOTc5PTt4cwnUr028GN9M3DRJlv2r/IwUQq1
LtT00ytRcUVu0yqTWAdMgslmGKJ7P+q8XT/CsCy8EiwhWeA4htY7ECjgt7Uee2jPy762ePuKNR1H
+HnysmMttIGtEgLzR9R2jjHhJhzY6YamdnfE67I1k+hiJauGTpzReq+MDC5J4JyEi0IVZUw07WZf
qGwH2JFQm2Ivr23whLLRZOMxhOuoxHut9HA3oLdBPqwoW2QnQxZhJNyWXU77mdOtQaoW6y7UJlbD
2NumPuwHDU123zKnP9BbaKKa2e4BB4wEhWPVW7PpuiPU4BgqJc6EORnndefiRMQZQrkiRqgjFSty
H7ggbZqZ4rJ5aAzgWg5wRG2G5AdpR/uszD686cAFbDxDGrfQfIuDWdbg1udMp5vCYUYV6i5OaFlR
8ISSREBZcemiDTcOdNtgg7ABiJxtR79PWInLNccWPnfAmN4byGf/4k2x+UHOO/9sPfaONeK+a3Pm
GbqHsEzPAtRnthkaEcOSDOpDO9U4LhzjCJKlOkZzXr7ky2x6FaLnGysxt9G8bdwhnteo/ah4hDql
pIxJlgwUezQ4oSADgUVJi40FPv/W0fjI16NpZ+dM5+Z+JHSd71MDsGPuGk29MXIHsV1ineFsYkJx
mz0A4qKxcdrpeuqvltFOOyeMJvbrsEIuQoLw3nTrQzlUVjrf1h6cyHVN1uuB3kHBRZGI21oCbDpD
H7GYbw7okRGwwxvKbZ0nkkoIHQRwYgae/tKtYU/4C1emrDIYdGX/DBzAjXDEezBI5GjZJ/gzzbD1
3SGsjxO53J9cFCngJmb7zFml7vYtMYCvQg4q2OGawIdm6xp3xoosjfHgy3bAjlfPpxRqcsrE0Wrs
NSNkoHS0uEVP8NcK2IC1cWoqYe4q/mMjEsXeQze7xcDPl1M+Mht3ypk+ZZh+6Dw6m32yr7j47yAp
YinpreymJ6N1R9w83nDYPcctCUWfFqlz0C6HDdPgtCsqYqCz0d4kVX1byFnf14n4jFITTGUJOU/R
IXSDEAmm0vNSuPH8RuRVq12Ye/F9pIx2T/mdD6VwtLawn8oPLu4EEnJD3grYwUjO5PHP4NvGrzxX
IY6bwYpPAcPxiC+wT3p8LibA4g0IqQ8vGeIjGKjsRLb2boQsh3FBm0xLaIxCmqjLCUr6yisnBynd
QA4ejVewNpDOaBosmJGBkJuIRaI7XAmYwZWOYuVj7Yn749zNPysbUWmtkZJ2UVOpTWBN3qVn9uM6
6WyvgpF04ZCH8aFso/zeEKaqGYJ39lqUg3pgSJzaTz34DMyWU9oe0rDuf7RGDqJiWHp3CSByPYTI
duc3PaorcrlJ/mEk5OgquqONPvzw+4S67ML1b2x/5BdzOcFR1sa7wSz6G3mgCPoyEmDONXM9oV4f
wiG9Xdou8FEo5vxWztHWPbZZ5F0qS0Ygkdwvdqf4tiiDap81QDZXkm+KPlBVSA22qnFUoGfD/cOQ
ZxYbY6qbT5q0YTiEaSPOJHMYhVtcafV26XsdV76LTXKM+ocYUN5LGzeAhLAC/RSR2e2n2MYKw507
3rt17/c3mCyhO/Z979/WKIjPHp/Tuh/NBkSfKj67Xjq0Ftbqg/Cr6TzqOmeZbecCy23Z2mJcxY1s
kk3F6WCpzMRVnVZQXcN4ppKwEx9V5JY7kF8zl1DIyF4cbJZCRmPsKMGLRm2NMMRT29sMPXEHkj0d
iHun8n1zZdXoxUNqUZ6kiLXeIhIO43biWLzK+qG+n/yC2wK6XIThbaOr3LjPWkfdjsZQ8y/FIOI7
O6GbmEZGiN1WHVJIHR6IQpIM8Z0GXYKdycVJy7E85FdAk+7FZ41/mtyjcxg0LU9c7KZDPAfR2hhr
awHBY3sFibKxrOxc+dm4nTtGrX4PJVIBCdrMEd7ZkrrjU+KGzyEm2G3dUrg4LK2xQ0jf7tA6mgO7
MUcP+VhNW1gIGJPVFni3uWunziJUFoPcN1pzJYjWf3KBoPWDzPgl0z63DIShVTkC8Z10bSGjqGZf
ecSM+YSGLWdBm1t6waVtnL9Bd+CNzEtyuJI3NqsLdSl9bNVKV99g0xpPZF+bmzaghYujBiE+2bT7
UvrmnhUI26FbhVs/beRWdPTWuIUjb/BDkflNgnttTDy+ueXcjXzuYsjwuFlNT7iAYiKqdeiH2Tfo
JCvbbuzF/+G4J44L+i1GXkMoC1wS/mCf7sm2BdvEBIixLaG+vpFlyB48ejC4fWXplx5deTDYcg4m
xT4vSUVtaWfhqtwNLr0Ra2fsGG94Qn2JaO5upDv566TNICKzzaq90fskk8vYjO4Rv9k507CHURKS
hEeqst8Ds6nPvbCI4AVUsK+MqgBQrjpLHqlNw/jU9wmdbYCSHuHPuifh9+bTVCfqZ6bVTIwPCsme
bGqcsjCZ6pC05LUhSBRc78YlM2cb8ZFHBX6UgPgV7ktquvY5JthnG7vrynGdvoVOTPFIZGXhJ7MN
RguZDLySD6GgJ833jScQMslNHOnplIzJvC9Ae7w6bpufuppWce6fksgltb87S3dBcWwFfKAtjanz
U5pM00/6uHMeU7p8Hhov6B8w+FX1Oo0l3RK5wn3C0X6XwGV69qdS3Cr6SY6Rghg7WT2xuhkwMejO
RoavsVNTuJeL7OSC3H/qh9y5YRDcX43AbjlNSnVv69K/ZKbPCIii5lcjo7enptjqldsu91PTxXYY
3jZ+Is8W82BIeYZLBZyPp4yTewTElxWPZJo1x2fm1PNq9JpmXxoWB55BxePaqxf+U0edKiFb7g1I
lq7KbxGaoz2+JszlfcGBEd77g2yN+eBV/AQFSedvNsI7Zl0kTYo2BhnShWAl5j1bBPtbF3r9xAJm
SiIHmPW4MetNgMFqJ23Y2IF0auD+dPV4WfAOvNjc4kCFpe0zhLH6RO7quoo+ObRQGCmrljT6vABk
unEq9jka5qGqe/3GQzs/GMjw69kdqeZpeBHfENY2oeJn6+bgrmRuh/fl2Fi3gxb9+F7a1lhfpzGu
s0eypiFG+WqmL7zGZM/13gyTYdUWzUg20AJsQLCxZXQjfQwNblUmD7kzhE9jZcZfoHusPQihsNzO
MEP2XSP0tZos860rA+epGwfMe1NjwfyZw2DeJnFcPJLuiT7HgcSpAbjsvXasNsTvGMd8HJUcHwQH
1J+NXc7HcCgJOubxCIKoMVkr5prkL58ovPLIbWsGerQzFqtG292L5ON+T5XnfENyk82TnzuyvVVl
7djbORmoOjO1z/OTY9DsiZIz6cdct9CgQo8BW2dOJF/AeVA2FBoq4dyucRTlk6QkNeXpBQfpm7R2
9uEJsN+ClrHr6jZs8CpuBkhll9qoyN/zD5AbZV+FzKQ6+y0DU7svoOs9gxTu3i2uROvaqeqHxnWu
sQFpfsz0poJwcWqn0N6EfA8XHoZ4T7xo+B4WQUIlmBs/J3NvvJpV6fpbGUzOm4yn8cjIaNphBS3v
rNmW15DsGIihcFQwhxaDZ5USmPGj82g5ww2sZewBvIXvvRf2Zwjz8t4Bi7zLmWuSCvfARCTTETKm
uemYlD4UkDkvAQFp3EhBi12zrmLUFL8W1QrrtzqVzUyBgeupSxj532FBfBp9Pl67Siyjp7oBFGRb
uD+17IOvDrriOqK9ZYf2GG563EXPuE66lyHhycmMon3BBhhuMKvblwKD1DHOnPyK5/ordCALWlUb
PNQcZ+8z+DGcruLqJ2WIMzso9omCQfkTTSgt41UhtubcDs8YGOD5GGl0qzHP3JdzY28B0etim5tV
ex6VQ27ZCKuDDPPoiqODykRCXsSHkqG677iTftST5TD2KtrdNGMroS+tucNAkB5Kr37pBO7rDfO/
afGP2h1gt8DHgwQ1hCHz/B7JDFLK2C34LZszUJtYrz3Ox0vfM8XAHhC8xl6tvquYNd8NOaexrRJ2
C8GXEI0pbjGWAJ8EbXzpvDR9bDnlUcmYCWc3G5VxtDFCXZi6Od96zXqPj6f7HpPcobq+jd8nZGSX
jC5XarPovYuPMY6iiYmnC8ah2EQ9YeQ5YE/xB7dfJxN3LAAuu7mKElj0vXomGqWPbqWSZ6Pke6Uj
mXMTxCHvw33a5JFt3qPuWEfl9cPG6LvsCT6JdYmMvPhyhpF4MtZD62lpZCU6zp6H6VbZnzACuGF1
GFNPItQBuoZKwhuDL5q5tcG4mGQC0u4FhY+gcmk41Us7VnXAvWs0YT9O1ZOHtvmeYOMeV1gW62Iz
BnVBgV+m3odWUGEQhKwvJ1028n5m9XuemyKV56Qgx7vKZe40uyT11XvYDtyv3C62P3pZyGdsgvOa
drXyfRzMClON8F7IecPahKl0xg/FTWlg7eAHSnIkBj/bxQuoNDBYvU106RveSX3XmLq/zGnfvnd5
h5Opx6KnLV9t4SxmNxMZix0JaaJtPgtGuYz9G0/EuzDNjQc3o3AmyamnNRnIssSXa4zKxWdZ1HK8
DYwwcm8okB6o3wjw+cCIM58Lbhtwy9Mx/uqFg7Wtoe1wgrAnV2om1b0qKXx4SblDbkIVuzfaw86K
MX4IORM4igu1FWkn33EKQFugxeeNEIb55EHLdYllzfwMhi7BwPl6ZBAUFs9OTvleGtc+tUZT8T43
avoqOYMeItdgGVLGDPeKRne3N4w9GYUPSgk/aLpLUVim94wIPgxKnukBbseawi2xHMaeWWTK49To
R6EGa4/VzDiFCU4pRsgGaevMReNYumnhCkedD81WO3fKVjmmTMeCK+qgIdFAQoqkLYoTFgZ5iEdC
J1wlfPc4501XbrLIXrapfEetDvAej5qhMtA8aWgydA/4l5gaafpRA+LpgRIfEV+fj4p4ybxKizLn
72eL0VG4l54b1E5mdvuQTN49njxYi+M0PKSKZkhqrO1mjXN82GdYwwid2A1gHXG3zITehFROBbd4
WIzbRpHccbIDeiNYry4RCBCmXZDPiFZGTrjuEi6eK2+cHeZvM1RpUD/PAi4XjY5DI68cDTJnTVmj
uqPijd4qMPQ3rRNJsjN2vLG1IGWgJp7LDDRKi0iidi1EVMQiBJiT0yyuWaez1Esd9tZON5V+SyZb
XBI6EKGwRwYLOCTFqx139aXm1dZlXav7yBT2RcDUYnAGFOTUAZm+scs0OVrxpE9VK6pTDBLzQZrk
cQtqDsINScXidQJEesdwDVS7a2uONL6XwzzsjWlA4qySbehMP4K5njcwVWx6VSzxacyg1no1q0fJ
yoSS1WEIqytyVfR6AdhNuiUKJea7QDN9i9A/aggUuX8ZgfVeZ2MUfPVqNP7IsIsbWQ7z+4g2daxc
yujwubMKjqWumTdC1K8YXgEZNip9x53AepYR3UsbIaAWY2UjWMNm1pZkJj2g/3ZqUnJhGd8oAMTS
OJGhMKecuiBRReM2GbPx6ikrW9eTbxzaTFbQ9IgJTUZRfxf0k2yMsIw3OsfiOtNmzXV9T0F0fdeL
st01KVBVE5DKtOKP7qF1/PyMTjrs7IztdFNECdbWyVdIiHbEM15iGsQWMZGdTesGESuz+lszC/Qz
lazmsz8Au826iSwmkysqG3oJdtnD3cg9eYirpxT6ElXtLgiqzewRJ9mBaBbliVJei5FsVVL/mjP8
6DBPh8ZLkTj66IsIQlbPITpFUEyoVZiiJj6VnowfI7AsuOQDg2Hv7EoX+Fwdd1+JhwUHbIj8nlqz
fPDHoDR3XpEZmHMSKbMd7mfWraSG5rQiikGVUgfP/UH7DkfkIYgtzMHUN790jg3V1Fh8mYGP+HQY
daPkcWbU/xQjob7WkHz3RlJQ1YG0hpTr1vraTyFtQNZk+ffVwCDO7p0c9kH75pokyJQPuNE0g+C7
UdrRrprGxeDo2UftW/lzohOsdYU/1rtORtZ2KkyqEKf2wLswbzX64y1dQp4PHC8oH9uWnm2hpvmJ
8SVVHDQe3JOrYcSQDH51DrsZI05b2/4nUwPp0i5oBVisGqQDQEOGszG8AbOLWywA2ZAyX3R0NghG
qNOlzR1v20XXuPK6brH4BE9pq4pzSFGyk0o6f6wME4uy2AluNNsMBLk5aj98AJ7lOkJYJtODRbNf
MXV2r35l2+OqGqYs2MTehL7d2kxqN33pF+nGtstkxzZi3WdO0F5tyr1eGJwPV0N2pAvgm+0Juel9
qyv7m01z0p1dkSmK4TULakWtaYMxN7mjmmDiXo79/3tbpdFbTDLxRICnv28Mi85zuiMi50QhD6qL
CTRPEN6gh3OKOWWhTxr9K72KkvE/h+td5FJTK6J4vKM+cKlQdFJiiilvxLVMyP7CEAG8oczI69Yx
XK3HUDHoXcW5AEwUexY+TsUFOpCzy3ZKQQ3RaC5SY267t01p6oc6LAWsW7u4mwwXNuSk4vptBm9K
0XKCRNrXvrwIbQjGOIVOipu4pbNOwk05YX+SANnrWEAW7Zh/Ap/PvSOdpOoHxUvzexXw8GyHiAPb
qheU62168vgbOcGv3s9Nn73wbev7dZHF7ARMPcc7LWz1YzDaZYHjIXKpP33xPBvTp9nOF2EV3jGK
FP3sda5PrO1sQDoQn9rpqDoKyMPssWYY36QRV1dc9t5xDJP67Axtf5jtqPsC/hnvJV/bekVesPZW
dTuiVyek9Jus23CHoMyZpGpxUzizd3RZtzc9TX2PFAK7RyC6Nv2iU/dZJDUBwFlOzr6inupmsb5x
RiP89W5WQkfbsPPKB65ITL9pXvyWEli9wm7OfsyV5z2SgeQfDeuQDkkIhS29wQ10WuQOIkXGsU0x
xHS8h4/FoNsf7EC5T8nmEDwZs2mrdYH1jRJnHd13uacfypJSQBjk9HhAwXecUyDa9j63vexUwe9+
IlMH0n6W3r0cobWuxJR332fGasuG3FsXv9N6hxsME0lYDNlDCjYpWUdBYlWPCjvadUyR2CION2ch
YnlF3CoOmTCjB21hobHSEXtdX3PVcCgubBozovZrUHd5P0mqTMrwjqfb+BhN4HL88TWiQm1rxuX4
zpXZv6Xxdr6fxvyzNt1NntKWVEclKJ8kmC6ynfLHeLCHfVN65TqJ6IONtbXFM0RkTTK6PLSATBO8
B2CEE0vIJ3tYkJLS4+FZYglOxnO9wg047Hquryg0HRMOI87VASt6+92LSnmvAFdCprTH5sHhQM9N
IHONnugiuxztZNUx7l2iX1MQ6rcQZ8MZdfVH2UA8WlWtdu+i0PIugyyd68g443vh+Y6L/V2FLddd
5Juo49s0iIW6NKr7Mi78dSiYKaRNZ31VheqNlaZIgRbaUhvxmrF7Q6W1O0z52uWIcOow2bxQcTdx
6Aw4suCoWaemBU3dQW0h9GVWz+ip7SHn/d1GdVveQC3zN0C87K0/Cb/c41902E1D/OBx2+bfpa30
Be2w22aSZpqeXPWJmkyqlNnu3wT4Iyrku4yMXyr64Ngpl4Osl6Bb2XPHDYae9wGHuGaUk9c2pe5J
xLi3ct8r16HpKcpa46AMEtMOMxIiFcwxLjAlWeQCr64WNFv06BZoPnZgDk9gY51PbBfjR8yx9ake
OzxBEvAK678qurMMEuCxM5nr73WKfkm0nEsPI1KOJnPOHQ+eOItx3/keOkxKEGQdpm10GQwhPjLb
9fPtUClqMhqKobmkBfKgSk+c+KXg7rEHj1Qw2v1hctuQnasIywOekIqsS2iR5E1UNr3Ufmqh20TB
DrsYez6+yRb/rVhyAcoi2dt68XzpYsXq3Q5WesSsp48UN0E3dtPJ+xGIhLIJKZawfDqW7FZWXIEL
N+nJvK3ymKwng7a05WvOLrbKF8TaSsrOJjUzjrxMmjrhjdJlGaxzQv/fsr5BR7GK9ITnaSzJVhjG
gSF7Tm86jDH+h4GHjlrq2PqGZguWfkAQJUFWuO5n3ccFdEWKTNi8OLtkbJfwJdjaD63IzZTg9zy+
Mm+2yPQnxlO43K5g7s67LgxGcC/og9shFulmjDNB8XFvfaYODZ4t474d+MmGLKfZ9Wrn4iJYYwDK
T3MuzCPkvvF2EijeVNEwJM/xPSHTWFvflyZPVo+nLBnIsTEZjQj5+go0Lofw46SK7ECbrgGbxtSb
AfPWT7Nyk0vHceLWWlbncJ78jQeC/2xAnlqrnv82Jy5tw4R0xasw6vhWhxHEbhIp27IVoFChp0E7
t932Neqq+dr0fXEuU0J7OjIJVMF5PmTEGX7A7vO2YeU353yJCKq/pwWrGNRft0QIdUiYMFxihc0S
MOS8zpj476nD/9xW+8cYKayQ/0ua+ree2t/9v/4PwTYWG621mGX+vTto3yXvzXv7q/n273/rn+Zb
x5MLcclF2QEYxb/vH7kE6f+NLiWBNP3f7tvf5BKcv3mADm02DXyq/8Bv/I8zSPyNYiYbt5FjwUgE
HPWfOIMWx/pvYwkYYJdIEiF7whMe36nfO4PwkvcSdo+3bV38j6t5ZqgBw2K8/c2b8gfO+V89vmJB
gmA9QhKRFr/XLy+jmR4nVJ7LrXTS/nsvDH9HB1TIKa1N+31I7HX/5y9oLmiQ3/9iOLGgh/hiMVGZ
/i9O+SCfARimij5fcyRLUCGHRMwOopxV1LOLDROr+NHvvOSmVf5Dh/0JgAR/63sxoXIKGjqOBJTs
o8l0dGtRH3GE/TFc8nCez+aYVpe/+Hl/NUot7xAfORRYPP5EDH6JFpBGTqdhLLDEqDL/HOhnXmvP
5J8cv4NNYuAwRFWQi+m3/GxKMX92oz88T2ECCatb5rkgRL4V5diy/lO8++c/nvWv3xN+PIq6PROv
Gt/JX3xcXsB8mtOR3LLvO5d4Bq5NEqO0N54eIooyR2yOBZP0U9ba41YYHDxaUOPwDz3/Bq3Ve7Gm
ML/j2ncyzYp7nXGlasElNs0GGnH16NM3DHf+Hi2+uc+AnHx0oYkIN9XVw5//Ls5i8P71q+GzW/t4
vbDuLJ7337rh/HgeRNvZ9FB1WQSPiljZMI5WuBkrPzoODdV169wW7tYo9fCJ0YTSjSwvuEMWeeve
jDIwrt04tm/S6aklwj1xzkmOvo60EmlNEUUTWxs6QqknyoyQVt6uP5Ccj7ZNmLxVLrUIsXJfAw4C
t63RrQmS3/lTjNI/MQtOm0zemjn0KXYjgAPYh2i0tgA57RiZY+yGugPK3XdWVjbYF3bI6NOXTTiz
3djVCUI5h56EARvdjZYAaCNwliYWk+BNidj5+ufv5b8Y3PnacqBzHdszYR3iffz9e1l5uU5dPcHD
V3Z+V4q02JXJIM4YIfeebX6xrY53HVdNvc6xpOc3XZMNX7LOmg8Em/ZShwMgUYsr/IHgbIY5qwYP
WhSeuTaUXd1T/qlveoqkoNNU+fQZdIP5yLCyPIFTRbux0/BMViqEIAoYfTWFYjz7aZfs2k6Kv/ji
sLL+yxeHJ3PZEnBsujwKv/yyvmA/Xh4Cndb9bZhbC4DTMpxDRabinlbdYFebSP/KzNjUoY2cqE7l
2IaCVN2Ys+N/c7U7/WyGUPz488/hD9ZXnzCDb/EJSDyoy+ryG4NnFk55D8jexTZhuWvc9F9RPwFq
S8eNN/Z/EaD4g7eBsIZFeaCA2sCS/vsXg8QkB39q3e00ae9VlFO5PMXJ3Z//Sn+wIP7uVX55SjM/
iaW2G0JNdhz/FIAwz1NHXc/KaYtp9+ev9QcrAtQq9mh21CWm98vbx1cyqSqL8pPCta2TbeTzJ4ZN
eXYam1nFqFl2i3IISCQIUdwHhWo2f/4D/MFbGsCnDDxCKUv74q9vqTEAooVaS6OYR8SbFB4zdyqe
//xVloLG3618rm9ycHBdaF+WJVBCfv/JWSy5/pQlVI+6zUPFmBhX+rRPsAaMQESD+G4E0WOPw+eS
T+6izLijm5cc71z6G5Dt0yboOr1uI6e8Sl0Ne5qvaUIbuZQvVoUpIt5HuGMluuhQweBCqQxoQ8qH
+ifDmr8wF//6/SCLB6mAvRLU2HKuIp7026/8DA2qporc29ZsO5hBEN4k3o3NLKkL/vP37V/etkCw
Nzu2KTnAmBQg/v6loplZs9cR5kAfCI9qSo0baD79KWwKYOVadTe81cFfvChHwV+famKsrDccl1hZ
PZfj2e9fd7Ba16IlUUHOGeCppDQ5hPS+BmocXqEfkqI0R/1g4KhrwuHNY/i18xBK34FrofeJ6MTZ
h8oh30ODlPe64jbF4lbv4wYn24KL0ip+U5Z+K3uMXeRLVnRC6JXOIXzVGQUY2LkObto7q8bT4n5B
Oa0X2hjoYMZnhkvvXCwmscNT4178UlEgi+Gtsoxs542Y7gLuqCty9leqgABQ1mHFA/QAfGbNon9I
HR+7TtndzfLdqebPQsz6rgA3tOGuGL5qWhTvjDqxdkNCT7eaE3OV137O2MojMBXLQvDnLHmbZsPc
jF1cgGcbdf9pZehMTuRwQ6dEwXkbYwv5TuRPVcVE1N93/J4xfJ8fyHbNFlcKoo0REt133XhGy3Gb
nUsQclvEQXUzUoe3xmOa3zo1NBiTijpojEndkuNFJjeZpvykTtK/0GOvd7FJ57cC5qkAr/UKA4dk
nKfYpb6nuhi2McGuAj1jjUHq0UUW3zCmRqQqus7J1nMdTSe8uM5VRT1knnjajrbYBvDDyqiY91YG
Y14+ddhjptHZ0K8dfE2DfU6H7okU1s+E0+VzbJXpDs9dvg38/gXe11Hno95pAlpMrWsTfnViQ+Zo
XIYSVZnz78oYlwdzgEm8vubB/DyGnX8hJO/cgBhqkAVD6AipzxgHV31/14zzuDfnzL1vKW76LDQf
W9f4YIlURLVE3wb7cFb6RkBmvhI5Ml+LuspehtjeF/QAUntJOO2+LPPqyvCHoQv9M1CBcqtmnp30
07csnBmGq6n7VjGRW9dGM4HeVtW+Ko301qhqKF5jQ+8bB63bDj1jnQhLwO3MPV5ZVrdqNrptOozE
UR3ffDeU2Rwggrm3VlPByuLTu5mTvL1GXfbR9N70kSy/4SCoH2nUf1F3br2NK9kV/kPhgEWyeHkV
dZcl2ZbttvuFcNtu3sli8c5fn0+TCRAEyEOAvAQYDObMOe1j2RKr9tprfWt4ZPO5W+oXUwj8LPSA
NtF8jgyv3QENGg90T9ZfEQL4S01qGxt8j1Ozx8biNyT1DK9gxdY13XoJWJzWUyyfvGZMLvkd4Woq
qntqZLO/vgmQnfKE+VgqXV5xrP4kjfyoTGJEuNZr1rEIrtMvLJX13olHkPAzMntiTxTDtAklbSMM
hV7Hv1gt/lLBSCitk0L/KWrRvcV+7u7LoCl3AZ0LGxVVNCuUY0v6QMPSDrS7x2NebLXhx+wL+aZI
aLKB1pVxxj+DBkUfy4POq2eesKDs6UQ6YBTGYwhBb0diE8/x8GPL+ASryYWWFSBA0VA7wcBJ+AfY
qN+GKfA3wzQY29z2/St2RhTY2vBvdj//aX1ZPxd6dK+y56nAZxBoo50Oh6KUj4sy7ac+KfmdWBTv
rFFk+qMj4LgGoku2SUAPWx/Y4WTV6sHL7jgMm9ZAdswY9qMlee0gZ/D/qeVkmg0vsG5aSnR5Okqn
ZQXnNrQsiST7bHt0viGW44XwY/EkqWQ8d8DlNoYinZ4U0D6c9KNJMITHLhQ4OEcwzU0NBDYY1hPZ
1Aveexv64mR92SPVP6PfZOsmSMx1in350TLKIF5FjHbu1i6dNztqJM/AGLtUwl5CePmV4AXxgGg+
CYIcvd0eIDK+RDB/eMUqf8KVSL/2nFrfJtT3ZzVk3PT9cSFi1lroilBvMvy67lVbLmKrovG8meyb
oKUEK6gFnC0aUC77XbWongYhi4BCc0qQvbFb/6lS575lGRyWGK6104Z5q0lUtoDYzpUcooexr7Nm
JTGyv3dLKdaKEj1QtYxnw4qqQm+LI6Jjul70qRNdzA6Nqok2jy80NvthZ40iTEZ7sUKvnnJavzU7
xzTADSnbysGmT8snxj70Obve1VmWn2rbGB4NkTbbO2HrIalppZUuRgnHbZ5wzmMDY/H5Sc9NjUPC
zHci8tK3qPKdTTc56UMaafud75oEa59LEDkpDciTv+wSVyUYSY3s2Pgmq3+Xk1NbEKeSUgX7ATRc
qOAZPszs0tZtXJcHZcuUR79Enta5eS5GRZCl4eGdpfpJi790ktkszciEvvgddKNWJOrRGov5mdSA
f1K6mCn18bKT6YAndIou+lUtwfzeF+RDA6sQz9OdCgVcmrMwsbKdoxHy/VpChUFj37II894VxqtD
mgT1MbNjjttkfjTdPFlPOf5DlJ1uY/JqH0aQdid25fIhsnu5Yd1hvlhs8Z6KtLPRlUf/wQnifmMG
WXweSp//1QYDaY7sW5VN9gK7zWSdF5t73qKbpm//+KVMthUWUZKn+N8zfBMJmNBCce9n7TofWjyA
NtFc1V+lmYL4civaMVLYjaRFKVlQLpQCxPGzDbDtuVtS+S3Tpnz3rEqGhuG8AfKW6zoBz1g13bCT
46CxUiwd60eHKKXhuCVrqYZkj423yPEMe52aMPs8kiw37KiOea+YC6jMUDI5NLanMNs4zqoQmGQW
p+SNH3UQwNZT5TqHjA6uQ+Wbv3yn8x59/jyuT8N4wgtYnJe0+XZbS2xMEEPcgAt6EyvdXwz41F5L
2MTXR0pY4kd6XNz1NA85+akkOww2P2e4j/Rw2xgtkKPObaw2oGhDLmrRVkflqBAI5mSDBSu4jiLo
r13Xxq+MmNgh2EOKbYCnJlnB4dMXSjmiN0974rksO/NsdaM62nE8nadpar9bmZoUpTZJ8jJWfDOG
6cgfezKDL59OTQrXyJFZCX9OwElcazxWAh6dMrcY9WxSW5M9f1oBbY/l0M4Gka662ujAq55VRbNV
0mSw9sfJBWRuGwpokD/s2lrZ+BJFKl6NiDtJllBkg2GT83pA/iG0TXPtzhmVw1HZN9GLo0TPLx9z
xKol67GbG1vS/Bc1VGI2tMsQkrCKt1oGE/6spaA0g0gz7hB2rNEm6+3EXRE7Di5Ybyggzo1xTXSP
+CthGPkRNxxBnoqKD8wLHokvw5hXOfDG1TiWwTmgg5Nv3iQqxH0mszeDogQIS72xXCfSW1yZdKuu
ak7aczbguXWXP46X/epJTGyTZLaOmnqWfd8vWGstPtALvShzkuMVsBeImlDLWThz3JjWvcc70Etz
l4imdVXSC6cKv38ApCm2SdQnW8/OoiMmULiwuoymw5CM26i011nJqoLTFRYk8ScgJ3OVnYwpVW/V
tJz66HtxvGd/tF60P3yKho7hOf4t8/Y9sRxnX8ZG+dTc645bs8JhZJbeQzH4ebcu6pSInSngb9XL
ElzoY9Vr+JzLviyMXiBFWdyTAFedA6m7m9Hm+VrUvt2S5bD6S16l2KtbV0psehXOar6F/rGJZPxU
BNMtYn+/r52q+pjguhMoGk17j7Q0/kA9725LeW9pm2rQg0p5+4rYAV4Njr3vvodqr0pY67HjRquo
stWOT7KPEULXTz626P1givijqslSaNFjxK1juL90cdlVrp7cHMGFdRU1P6xM1MEjovXG7oVDx/cH
GzdkzD7YrRdmVpNsEHxnN/3Ln6k2hYZUum5mA+sX15jEwbPOpjsf/WzD/b+9sjRKk42D1LrRtMo+
DE5Cz0nq1t6W1aK3g0DZ8ch1aptyQwqxKJbzb8YE6m/lIRq+JiTeaEVlp4dEUROksAI+3H2wA2rA
0jdaniAg4uGBgtohOm4nuzM/+Qzjb6Ffb5/3/vJoDCYWVxDsXINBpB3syjfOZgI0cWVOOj9TlRhd
NZcPkgLQ2WtR1MBd/HSdguY4lbHPRs48WmVLNqyPU5wbTXJzAA/eFmlDV1bdDHaNx2lbBu4TwWXz
dyKL4LnPLetseVgi+ZLx1/1R+LuM6+TWj2VD2YvIxUlnLLxVZgSv3tJ1L14Od2vdd+kXD5bikgzj
9Dqac5rhbMnrrcAD/BtEZsNrSPJ9EvvLA5Wx8UUscfM06Kk+1pmyDyruqaEUZU2q3op/paqPrlhK
Kj5AaC8jwadTyYXtVxnQ6LrSWBR33Hmo0mkGxwDwMwX7ZvDIY6AypFeUweGNVML8PRlzeayDoQ0o
VRjbJzwRHnLKoilE5L52covO/RlFYzWrJavSJ5u36lPjZ6DzV8ZoWQfpMR8nJP/EPtd3umeVjsW9
laDaJ9WY/WrbUn80mWPiqDVZHKwooDaDNZfz7LUXEmijP4uNUxq6XXmwvvXKj0sTSvaQXAxWsBsh
a7UfIuJMhi3Y8OLoeuSYzLbaXgrqe0rKYpPZn98I9lav4FGL0McuDMxoIcjXVN0l9+7GNywiK3/I
+73iJRgr5avqL3/puOEIF4R81wyIDatdw65jin35bCREBT2dcQshxInHD1PBq+gEgqlpcr/jbzfs
GqNpMyyDdRVDCUySTAiTlDaGT5lE2Ucl2YduIiG7Iazpx0uf4Zp0u6Kxueway9w3pxpS7krH8zMv
FAld6clgqCrtHYf6vJvAl+5z2zDttzKK2r/0IYNOt1AOq6PlsFwOGQzkeArm1CXLGQlvXhczS9M1
N2nDuELp6vyTmF3qHyYp3/tyKvdqwcBWLHawT420mVflUONt5YafAQ1fpMIWVZfjtWvGhkfBsvTT
KsrTINmWFcVv+A253HqLT1Fmq2frAXmPqgY3lSyq/DpbVnJsjMPUyPqc20H7iicjg9OHNWlsPOY0
w5/+LpRilsjAznhc6PT9I4Uatq0qOCKpc+bxb44D9DnMeb8szFx/CVXhb1qk8c1Lbz76CFsqXlLV
HTkKeQzwu3GqzUzTu75IP54vbe36CmPIUmwHOZgPqGExz/OhLMb1YBfkT6NaXVNIpZcaX8pvRkvG
RQ8G7J8s0znqOg/uX43wA/hY9njKusSvw3HELInZ1VXEXQI8vMqJ3lkp8bkaChqu3bS+VTA8HiIt
43xr+Paf4l4lOlIC4nQOyxP0zF02LMc8B0gKGhTfdUW1GqlGD9M6sLytbUJ4UpjNrhBUIFZlutfe
qh/IQM10axxIqVsbZaS625RWrX/ZmTvsM46vN+pIo44nfOKC9B9Fe9RLln/WXJeojKq7PR/VGEdb
Lx5BghkAjulyBMOCJcIIuwnDXjhNc9SupZdwSk7Dcs6EYDBgGv5jycY/oK7GJ2uYflox/OjWeDUZ
AVZFlgqMX3TQ+rXtbAkqG2Etq/5Nqzg+4o0Eo+7E6c/gEWNdLXU6X1C2OBlKLtYr37C8ftU4NGEp
nRKRmpTx0wb3QDS7tb84l8b26/6vwKFCyw0cxsRJKNwmEERieEgZ7V3WmdhSyUivlBjgrEW8OIjE
jODLm9R6uNPFxj8pCbg8HPypu06R9zgknTx3PIMlLytap93UouhgKD0NXbMc9OjQY9LMHyZfxV3B
0qZjZPHyHVanCXN37E9rPS+//R4dLt6RqAM9549Xot/2O9ZlXjnH8Ap9saO0FBUSdcl+43QKHZpj
FqwqmEkMMY0hdxmwmEXurxuxnEnGNSfAEyBtukZ9zwW9YPSEGLtIMesaExAXuxm7KASR44W13/M5
MIQ8EBpjalYcVmSmJo7kLrcmYCuLQTCvLdalhtS5intLXQDqVFvT0R7ZESs2VzzpxA2/hPuFlJEF
6xGKsBkSuj0sWA/LSCePwkIXDIy2YAbs7XNEtK7LeB9SsEyuy/frec9vvBtD8JgsXf2Rd2wC138I
3okkeW/J4rrHfNYqzP1FIM2W0HQ5e48E+OyzP/Tu2ue68j4I0hIl4OWQy4HaWBOt2ulAhNmh2e08
0REOftikkTiwE7Z1tCMnT/j+edcNkFqJAKZfsca2o4pIYxVhjYabtXotXZm/xHhcnw3w5m/s62tG
ojQq8af2DdarGCN04Wa44B2q4d58g/pJWxXWrZvpULXmNAoZgdRBLFjwsKfewzX32Da1alWIj6pb
Bc5UwrfgLrnjmM4I/MEeCg0CfDge7+55t56H3zxGG2jYhsyCbVCPXO2hQnQHttD+cs+9qnLbpl7/
3Anf3Bdc72uepn5Dpc9k4RkO5Gg8pcWcXRowcph4y26X1JoELvDwB2jNzX6k12PrN0tG5KFlBmpJ
lcK4VcCc4bKWtv0KV3dVaet3WrufQRHgOK0JRlD2ODQbF6JCu64A3XUz3GjcZHuAtuYzaS87bCrb
P5Z0XJ/TNn+pMJeuRDEkfxthiZunMTqTlYoO5OeWDUzQW2SNxPsjd3wey9EkJy7zy8RJWvVltWlx
yj8Tz4hv7lJSHNKBIbJKVGYEXftMmWy/k4QNSdLW9PqOPPN9TXA2LozdhNMHVIi36yGSrLOk+9sx
rXyDvQ5tZUxhP9M3PkmgWQObrxy78cG0alJoZG92XgJGo4i8jigJ6sBmsZfkpev7LSCEjd1U/I7Z
dW3Muf1y2nI5xeNoX/2+0xLEqkPezOBJWqE/7UBl9ds6N6k/Vp3lbyx5baDh41XNFQBoCcKDPIZK
CBFloFjNpjj5GreIMjZBVl2G1KA5IJDfvW/Eu96YBI3PGKA6v3CBAOqwbsmRLt3eUMx3dRc7J90k
V7Tfmt1BuauT7Kk2JMEQtYw8mhiHrZGCJOjT8wkB7DUn7REDeA9ZPIRWmiL2Db062DjiYxy/zBJT
8W13URrmtv69LPGDABSKMT2tgYAIKy5X7PapL/UMuVWSEWiR6YFQYatWddCUVBZXbLK4engnCegL
bC4DMkkzoP+2rDY+pfKIlIwTUgTT78oP3BP93s7arl2G9n6ibWpq8T7G+bAuUvmnLivnBhWj6jdx
YuGyGw3L3RJ37PbFPCsHraVOjtKAlnvvj5cfeoDw+UkWKufjqZXL3BuIFxvsDLPWgNqWz8OGgmSl
QmbpzeL7c7BlQYGUodP5KTKc6NYoIgRpH9CX7PnWIZAkHzHHHxtppSwwh3Gc94O3wJD3Ik5FL+Mt
pVNRZy9GivXaYSJNgs84jXgQCwm7ymwSIzq5KfMJ3kZXkPummPEpiEEZHVhngwebe/YjLGizh0IO
S7jk0xSODYyM2e2ohog5D1385vfnaeDSfKDT52wc8lsPeT0OeW5UOzujlpfUcAUGhE5r70NVRX+n
88jvnIQeve1BX65Gmg1WNIOCtK+nYrssEAL9ZhbANSTHfWHyq2YYHJgWI4W7xDf0O0KxxqE74t2f
Ou9IWAANn9CE43SSp1VxwUkJSUg1VxvMTluqz8TEMMye6woQZBXX1dWGu0o4wbg54g4tcuIqfpJc
SM684xJ4RFnDRIy1u40hPcziW8uJ2MBsqX1BQo3t0tysqGPeUYTwe4iHZ9lM76DMJuhg2J/XGQiZ
wwRrKPbjbudUur4EMGlDV/NGL1PExlhad5ON6J85uytOyByVLCtUuWEMYFLt6IuH/L4M5c9CMUOo
HbsNufZAvUkg9HkRM5MzmLhMAKaEKmjHG0CB7jXGeEje00akLmRzyTAwUApwbm0j2ojJE2vhJ4gU
bR1F78wLJfFP4TVrL7cXSP529zsVGQhw7c7TacEQTexF5hkX35S1cNNx6JbEh1hVhD56wZzFwX42
Rb+mHtOmFikv64tZVPLWjAHInxH9NDUNliMy+2hjQ+zmgScu2up0TmupiQ1Oy/vsMbXR4gY+zZMu
b5arq8v3cRT2E8XOUbxtO3v+rcwUSjm34zOhCvd9bhbg1w1rPa5Ei6QCaQ7M81QY8Es8jx8DfjAj
25VtHF1tpKEvZlOmEMLblxRmBEIFPz9+kkbiiU0kRfHKCEe4iLx7PlvhWArzREk8+4J2yF/Lrtnr
Xo0QNca3ri3pb6/jVxbIOyV8b1+wS9r0C9Qkc54JEEgt0bgz42rHrBR5rqSvZIap4PMVk8nAG21V
uKb+Wy3pRTVevnLSeedZeo1pvt64+ciRjZAfLn6KAp+oTWJBoWpx2vQrx1LxNphLixkfN4y7dmT6
x+rxz2NqVOO+ZP58N6sAbdV1mntLVPNd5eix68niDTKmmqK5knqBW0Ep8xQ2osuBLpFqogHDe/AS
v3y1JrelqAaxLghNJ174vjwAf5UbP+Hov3QebMiWQrgjmxNWDlZZ7CcdgJTVZk8iwinH5XmBpbHH
eDa2awtyzd7PTYBT9EyxTpiz7D3jqfi1CC3CCnPNzVVUAXMvVOlJLg6PMOkNj13O2mywIga52jJO
RWopRqamdg7aGmgOISSVXwBOmcdhxiLPCo0ecWC909xiQyYuylXMctakNthYGFb/lrcLUCJ/8Tep
O+jd6IuMa511cD3FMTgmcgc6Z2lXDKXWmQmuXiWareKwppjmqVLfbZYaP3U+GaH2euMhv994x8VK
n/Hr1Re6l+nPAHj5mC2Lu+ejZD8GyEFvDim7jR8YVDANS8W8J7uVtZCfkXk9heDeeW5VVv6Az+le
rzVwd46a8cQTdwoH7nLEp8QIKyln719DyVnlTSR+FcgNBIo9uk/yIFnDBHaBHQXpORe1/MI/7EXg
pujdTfMMak7v0ECdjEYWFgkt1GhI9vrOpiENa3TvOk3kTfD+fEqU4K0U26DrnaV+lli14DZYLg07
dguxsZMIVFRimsCXUFPyOV37uSRcQdHgjmB496uJeNbVps1Cf6xwtq1mE+f0qjT6BL5GRUBCxR7c
HK9Ovhx8tB9y8NPrbLWUfvPNhBZGxVWdYb33QWaElhm7/KQKUhuVPZ8Sw+fIoaaY385YN/6nMRof
lT//xINnn2VgP/KGQq1HTQrp38geE0OU/brP9H1ycJJyupCYVMVOMfX2u5qHZxImuh32vK0bro82
kulY+skBpnf86pG+nO8H0WCu6wBve2jwk8UysAQP1SCivfRK/WXFIKbQ3CPP7q6NUc6HypwgnuTG
oGGigbpeJV0aPcWIRTfeXemvvFLifbTsYu16bbyJDRlvozparm5VE4H0eubLaB5YOxfCfMd12b3m
i4Uw5VMhv8oW4R8STecItrH4J4gXf60iM9+Q0JpvDdC/hwq+/pbToti4nm6P1WRCJF/MwWL9Iv45
JffhZFfNyciYvqy4KI5yjsXB6IKOtFvKxmQp6O4k0LpcEFogvyW58ZnTNfFmt1y0K4akfUt7Njos
/I8phacjOndTWFP/bcCSPcCtigSVHSMoOnpxHohYT4+8Iwuu1I7+qN0h+7KDAi09iZeb51nDuJqZ
d9R6Zn2Mg2GNarzC38h/56gkLzMsrZ7cB+mX0By69iamsr04ed3Ii0lR1LGDIoh3yRj7jWTW2jcp
XWvdkpuPs534TJJuKfaBSIqNcjs8KkKh6sGmeYkG27okquYiIjxEG+rO+Dzz0VNxyxLTX4rXRJdY
SAwsVEtbn43aePUqg5IOXbyUymie696JaPiY0vutFjSok6ZvpqGH6wzf5MWe8uHZANsFHOdpRGrd
Wk7Wv+e12z5KYU/vBny6Dc0m/cmuUz+Er9u/81h5dyEinGfjfj8Yy/xC2Z51qorW3BUxvK0YLlkY
ySH/Hoao3TajZYa6HFJGFZOnAwarPbNhShRKWR04Rc+Rh8Jrm92g/eWjjBs9r7p5sb5KumfYW9wx
WgX35BMJk3gNdghd1qmACLn/LBrvLZAcd2tE1fs8mgBClMpF93G7nba9/qhohQoTV4h3GYDlQtAc
ImjHaSmeEFvTE6lsmyR4l/FVvWlbKzM/xPRwPCqvaTcl2Oo1rALYaAJJI6v+kirZuhNnRhH1045r
NCHX2XaaVZSRiQd/W+0bF9XY9eMPP0m+cSn9+KitQJlpY43EFhYStWKtC+itqX9yAH/3Ft5dlepi
VYK/oyCIFotyIAoaP4xe/TaBePenhVargsWQIWaTvXGy4SMb9sJZD6knDsWgbnMr9jiGQg8IwH4m
kRfKMcWBwFYI1NTEIsunO1WVrbmKLWO/mM2xsJ19n80PToP6PQuXjRBfct/6U7Z1uhg/slroHWa7
n/321KxpbI6zM0Gk/Gax/3qRFRNjvYAPdsta7P5tuQONNKv7jQf/4dNIEufMCGxuF7gRu4rEzes/
HXP/1zTZ/0dZEJx/JhbD/zkJ8thX2eef/xoE+dcf+VcMxP3H3WDKIWXD5nIdE7Pff8RAPFCvFI1T
2eYimVJRjjn0Xwx22/qH5Frt3X2h9xAIxsP/TIEE/5COJcx7Q7l39/z+r/iwgf/fQeUmF2YmCSvA
I8Z/7kjc/+qmjGPmu7Syql3fD+1ei7z/rFJ2tjFNh482DjHuGCaCvOHUp2rAsS9hSx/05GdEPysB
2UeiNVWz/AaUUfHR94ytJ0xnbY3ZdDLyKtlwWYN7KGV0dMp7aHxaPt3eeQSutrZ7vKLuVJ4MAwzn
iOccDCFGOx2kFxtpPhyW9A0Z+zuCbWcPsjzmrWqIARZiwVKYT1s2v15I9jxltecRU5MpeKUmT4qj
vTjVmQ/vcqWIpvxC10HhJzvyB1MN+cHCGa8wpw0eskaM/OFSfGeZgwzZfKjQmfsUv1SU/0a4LNbs
oRqqGm30hDwt1PdgEuBzmjr+5ZTteDCqeyDCFdwCq/JJYdj8xBTbHTPgBYdR+zjhDd9H7pBIvW1b
487kWtc/JsU07SGyVacaLCvw1lbeu0qBOCbgbV5n7kGxnqZbispzaRMHtkgEIc4ovUfLqYbXjr7y
n6ZI9Xvqjs5TaeI55xMfPKZ+g01K/xMuF6U3KGnIAtb8RulO85jIVNzsvJGHnp/1qSuj9GFI/Opt
jCYTO6hpryYS7mveGqFumuyToz29JIkP26RJhQhW9egNN3yW5QVt6CdCLg2X9F5317vNu5tC8DEo
B/tyl+gvPiF/WXvBRLpI7fNEHntwdRsIXeKJ/bVJqB17ZUbg+J2Un3oQiCQnu9Q2guJSfDskQldt
ru8L8ywhu17ZxgVLk9+uMIvILyX7ZqfYtyEew0rPEz0eSxPU4AhrbA9akop2aGcHURnWmfrDn0if
hPVuZ/ybTagEt9Yo62Mh23a9RJVHCXvWK6C8M8GCErF9ATpccoa6dX4JkqXdBay8Xi3KC6+IFTqM
nbr5JdplvhR0061jkz3NbEF6JzaOentn+fTANaH0ulZwLiEwMzDUCpNkEnHhrjiYCsP924+Of+l6
r9s0VgPTrGsIidbWdOiweV9w4r/GDpvwIJe4KFPP37az9l4C7o5bSK/FJ1yRZuUSu0xD6Rqs2/NY
bDINEb1BKN4ulWFQtUUtlDGbzdrta3NDZ2iPTjY35xJZd281nEdFZpaHcvGu1aR3JYvSlecvUJGo
aVnLzCcg7K7AdKjdQp8ca0vYTlE4D2gzI7kdevx2wimQ5iS4ctWb+ZOa3HSrDEbFHHIVuAnOagEB
3orS6uRbpv+RA5UB/mFWwxPmr/HZpZMXA9AffC4bubQPbeV9gewFPRTl/l4Z2rkrhxEPn/tXLLUP
8kaMBUze57F1nn2RsgwscPFBVZmxGcN+sEfwLFGKp2NKy29b1hfa7ybOa6weoneN59pV/a8EKZuM
er7sdO6aV6o0OxyblTiZWdwd69Z2Nn2nvJ/Oz6OtW7v2WfeIKAkD7CZKveCG9Z6f6uRYPDyCiekX
20wtazKsS3FXEmf6YrNFTb/iMvIPjD7JpsiR4i3Tq4+TRxbby4d2N6BTHPJaIu7QCeoeWkSyXXTv
dfHjRW5jD+dGZMeMTNF8913z255zmYQSGB5tQaxm86CBchcRzFLwqXZWT1MFiyf7j8oEGKk5r+eH
TkMgK81uOpro3b/mimjygAXwoQvG4Wg2U3WsipEEFxaCPwSRutOYcG9klWhiDYWlhyON4ZFqUjfF
jznar+wNPQK5c6E2eTX1eLCcxCcAy4Nvk6S+vcV5cwcKufE3ubxX3D3NRs3pzijw9vGD2BdO7a05
MOT7UJGzakdAFbxy6HHAtapQU3QT32GK2buOqYYtCYqEmBC7bU3r6TrSBQpgZhGlsDVNv23Q8/nv
6F2mhybddZU0H1vaknKTUqUkDkKDKPwqC7wHkECYE+0kRkMGDbowzDr4PaplmE6y5uwGZ+F0N0DM
xL378Rt0dU633d3wHdG8hKMgs7EYkVum4cxnmEtbmGIdVJydzYi2syVPcCkyyu4iu9n05TIwjWFC
HrxXUOwd+gVfIBS5mt9VxmODluIyk/sBrhFWJCcKTQBj4Lj0rjPpuV4goPxOWXo80zs4gHqkLNsf
9tEQf3Q5T/0ifSHJd7EA+FJfMDLhxuWm7QxzBSgbXPnUJg8YPrPjVOfOwctcCph55b9kGdgfrZ2N
65T4OfCplB1BpG6sKzR2LvYooRgoGFyVSaXeuf+yiHXn7uqVszrVhtf9UFxirHjn3o/BOeWXWlbb
VroByn4bPLduipF/6jeu2b/3kHSiDETmmC2k3uJzrROLYxZweYRKiYuBjg1zTYFftJ6EeTRohFiN
dvtgTzOBMotGuQTjkJPZOwoTdxrZH/JLhmfNyEsMTiyZ9d0FMcGFsRw/xj2a/Yh2DuTWrdB4VkVr
6ZtNhROo2B9vsse/YFqiCwxE8paRtE6y0361G8a0c9d1PXafC8fQT7aYjNHALR8pgIWIPrsTaCW8
yMtLWfndC60QtrEO5rxEIcQU+TQPJn1XSuozmia6X4cRewXBxXzj0YNlGPPFrm2qdjVa87gDOyLW
C+aPdX/fzc0icW8g96ZD6c9LuXPjmVUcSfUXlG4O6ca/+oZEySx9gwp15i9Vc0WJTfVTqGl6UaUH
R5cGzy0xA05v2y6DJ99hhEE6q6uh3CAWXwARb12AgqvO7t9Fp181C7QVLiz7CXdLva0Cclcce8G5
isok3czwst4zySKVovtDLPOvLKGJq8ad36anLvX2Yzf27PMc+Ej4MaHu5nZdbmJYUwV10HUGeFiY
zb6W/SPdhM+5mXxxoL2NesDr6ACiHIEUxDE1fcJBE88U7915EZy73MKiZCMr11vTOjOfVevch7yS
jcwMAjTCu1rIKIYiOXkAQhOnp3mWvIanmhGeZJtBniWZ/cLj13+Yl5YGzm6g14srPFh4wa3TSS5m
nadY81pjnQ6jvW+W1mQe9+cbvSjLfU0rHwV5FFlm307MBZZSmP7U84sOm6Knqbatj0YCZa2VWCAl
4Ar8/3ZwjKy0W5OmnPZ4nc2w1sZnRiv4fm6K4oFgHUf0fcVDcYheMY9O5DYT+dCOkaD63GmOvjfQ
bFmP8bGJ2DBDPf7oyd++/Tt757FjO5Je61cRNL4sBF2QHGiyvU2fO82ESEvvGXRPr4/Z1dKpkm5d
NaDRRU8a1Tgut2HEb9b6Vudz/hkdcZgsi7R+4bSte4cLsbz2fJ1Q3bh4c9Ocn9erS3y5LIyR5Owr
DW5gU7XPlazfIOPZq8hoLTJhQa63cMd8oWtPdpS5z3lGblzESugxtzB1SYRcfByRWqa8dV9gf7I1
FaW87ccxWA5xLuyFlzFPIpw63bVVhbCykzuzbyVvahac/EArkTBzSQVw8c02V09l2FYnO3KZ+ETE
2yd2haqjlpU260jZ/PVJg3ayqmcis49WKvPBdqO/kGjTYLVaJOp1yn/MiXa8FYGBDAH53J1Zlyb8
KEYQ1GD9XWGk+VMdMIM3s54EItse7xDqi0UXteknwTbOtsJd9O2Vpb8dkLayZ6KCLkl5Phm6hatj
go7zFhlReGLnxUhWx3V5LJDC3QfBjFDXZBVdGpFyZaQg4LGJooID+bUNzExcIWziue4C1B5h0+x9
dPWMv/PgFQCQDmXfMWCf9tmnVSnvSnNL+zLqOqy+FmOsNFXz4jVVcJdUcXpf9INx6F32YItYx8WH
+UsuSzqBNU8Mk/dmvlzz8LaJoVvWNgm3QdNcVOhbO60Z+isH7ttS9lVOdEDbHDP8aOvJ97/6nLkT
691QIgEfKd0G098kk3Rf9KGG0I/+466fZLMeWp0QgwawLo4mGxqnbb/SslbrKQu8r7L1jZVHA7hn
0FJcyyCKrjo9jHa21VKQs+M/FKYnuDUsbwOjw9VZ7t4g+s3XKqAydyNPPwDTtpm1kSNuTPV1JkKD
4b/dLDqnzQ7ulLBmLA1v3zpkfNp9nXzzQqu1z2r0mDghBCuMbD6ilPEbb8hHmzGKdkUdLMveDVZ6
PaCR9nSoNh2DxCzNfWIWg6sOdWxV6d7ZmKmc5Jp0S3zO0VOkxeOqn9IXEN0TUQwxlPg5DsqeAHmJ
bCQUu+mPc5PP9jv/qnrM+W6GeqT1xjXqE29VwqW+AH7TTPCDerAKeeZWaSeZTFVYQoDQ6CeLEmxZ
QRd5RAeFdLYQ3SVA/4aBQtzHjDY3zA/d3t/qSZUc/IzorV6unKDncBkpyYXYaIE+Xo0AQzazDX9h
jsM1WLl3vp4DLHyMK6pgYmyPdbOq2gq4uyetbT3pOBoSkZOabfJFTZnItXUsr/HJv0yhuAo4P9fp
bLaiNog2RUUKJSJr6CkWGiVgXOkqsXBHdCWyNBE21Q45JgoKO85Y0zbxQe/KfFFhQLhWEySrZnKq
ZW5jSXBMfABUo8EhGpQO3c7gaA+T2DBQKc9ZspNnPBkGxZPlLgmthL6TFmmwLEoNynpi70Iglq6L
uiTo+lPGUYheQxu6+8aO8xcMjTw8Zqj7H7WPSA2nmoPyCbEs6iDRxbdZrWt3gwWSNNvXVofspw3J
8Z344K/wyOVXcRvrr9yA9VWppbS5IbFheQyyZTFF+hDgjIPHbE7+xdCVhVSVvmXRRiP9KUpDZvx1
ohPy7bVbpwzkXU2+22FspdrjObLvzMGytqoz6g9I/R6xXvDyX0DutB9DRtgLxk0exo7Dk7fGO/qV
XgAt7NwdAqlxAf8fwHXRtCv+AuuZXrq/dCrK7hE9WihGjQKOVl5MC/aI1yaf6S2gO34YsrwvgdF/
lWkMbieaokMoOv161PkvNfje0jLNDii9DVy8yTUdopbU15k1uw/9EDLVqJ20GOVaklrBxqGwAFhX
MRMmOS1eGOCVKdNjHltRes69g1t/7ZH8Q8FdZGfBPtmoJ3cpApsTqwsIbMZVcfBqCJ9eWzwMMnmr
y/48jZHGODv6BEQU752qPmcdeR5iHCqMVMNTQ/Pj8gzDGhjPyhtfiyrXDlGMmOqfE01Tx1H8VxPN
T/URftX1+Mep5s8f+z32yiBZknGhsAT+ZPMnP/L3qabNgBJeiP17eO6vyZLyN4csLPR7zDRhFljA
RH4fa+pE9RKRxe7N/Fsglv6PwG3+bOuX0gR7JoXD4JUlovsni7jNXE+oUuHScO0Xf2AwBatzgXjO
WaaETrIcnZU79H5lbn788k7d/I0m8i+ou2ZyWtv827/+F+v2n/7p2fD/C5ABYj3SFdFUa89KmK+E
0C9BWe7KxH/vkeIu/vpfM+ZX8ivShJkC9xsRw7aQFhSDP41vY3KiJPcp3PI4sQ5B5bdLdlVYn1wj
2aByehZBTHtUjxzfKSYLz+nYOZYCEqVUzx0g5IU1BZc4S27G1jnb8YAaO0V5KfwnJijAw2DULqIi
PnJDNOu//un1/+bHZ1/DEBwvvw1X4ofY8uu7VWc0J11lre0EjpxDbCCb5Faj/sUhu9ZaZBt9SdU0
JebAojyO7i3fvoa4T4aGMc8AVfVMeRJgcBEvmoVv0GTgUSTvgdPZ5N1H+7ZqY7JF+b0o82JQo9O0
CHoXMmOIxMMdq31QGeJByxGTkllV7wotXYETWDjTLXELGJ8ioAnhnWXHu2Ds36kGcB6F4N+y1eB3
LUGTya0TJndlOt5b1edYWwra6OJ1iIZp6yAuXUH+dOhvPdiAODv3nqsIvAplvmW8k65sCPA41UxM
uLqJ1dsIHmQibnONepImP7wzyWg/GQD53rAuOxA2Y9IxwrY+oqNHxESYhbOQulevLF2xI6+xAFjM
ZSgtk2ADTn5Y2ZrvHSyCTE6um0xMN+Lmpoe3s6PPI4+iKdxX1hcOvNSouHZxaMKHnov8XMrXgYXa
2mb4817aDC5K1SKl0I/w5vurXkxwZYXLEItMHFTIxEIcgM2T6y6npdXl+kbLnfITldhnFBRyz4Af
JapR9ShP9FutKfEsjeHBT1KCR8JDZXmPQSeNhcNHA1ym3umkDCzL2I92PVc7eZlNddZdWKOqeGC4
m5/++gtpcAD94XFybWFZnB4WX0kKjT/zQGBj66yxcXOoNKV5jeyJdS+4GsKdczcot9AazIcoMobT
FCrtNUQWxOrArZh2RVVxch3zkdnEciL889hjgfoakB0waxfptrH9BiZqI+5CuM5PTaXU2Rl88f3z
Ev63F3D/3yHbdMCKnMX/90tt91aPb/nbrzfa73/m9z2d85tNeo1wHFufoyEtTu7fbzTrN6ajUggI
IGBAfjZ4f9/TcW15sHeAqTnzLej8sqhzfgP+Jjjf2NZ586/8AzmOKA/+9M1E4eSZoEL4V1jgwCL6
472S6EZoJEmY47zQ3GvoIb2zydDjb/IJqVSAVOHFdksy77DJJEzPOLrtAaeugFi0qzsapRhv+z23
Es1G58TepVCu+Wz0uXM1TcJ6jPh+ntEGmLgzwEAXkWZegRkY9jn/u5OZTaKWKyCAzHow6zMZJiII
+Ba3V2QqGw+oSrEAR3NaATpX41y7Mn3A6wznek41QGWi3zSVmazUnHnQhhCvAvY2C1Rd8SXj0DnA
JPAvYs5LiONsE80JCq6GuAczgbeO5nyFeE5aQEgSwLgE7mnGpr4vUtcnxc2mKsxxEF5hHsu3UQNh
wxoSpguVStZEgiE+arGgdAPpCQpHzMrzSZ8PMeXjOhInyyL8AV+TdhjmQAg4kd2VhYBs081REV0r
2jPqZTJX5iCJyrCafZA2+tppqu4uzcN2D/yCGXsqFGHN9pUP7OpKAntklKW8Fx1t5pLZQXcIHMNa
a0aVXKdziIU9x/a1dckAfI64wICBZD+Ky02RFiCCw1l5MTG09uvWPtQEeT/6Sfmd520JK6WtK0bv
WdK/MMYPLm0X9M8jqbYPHtuCL6hTSAEs1jcdFhC4YsuRIz7aM3yFahBh3pqF2xb9L7B0JHOTM7zG
I53DJvGt6CZ3gQCQpDEcPQ3yOhW5O64szD7RqoBNvxoxuSNm1kzNZdeX4m4o1ZSfcEFk3/o4kA5P
fCYus0K3dzXy9xMUBG3tD3Z1j7crXVkVvnNsAt8jA6NbEKSMzIACn5M5tCSb40uGOciE4189QU6P
LoXQglVTaXcG48Bj3PXGN+ZZe0GOJ21urCpVLOJgHG4NI/5kV/lqz0kqBJ6BGhwc/whDxWaoSs+5
aOMCwIfPtDNBCIoqvANidRcWoDyiqRkPTHSda+AAW6gjj0OYwxju54yXbk57qefcl9EgASbgyjrV
cyoM2SZrLmif2qHBwGJOJsOwOUeGOeiI8kUOB7K/7ZfQrKW7TubsGazj0SUo02SfJ33/ikdTvPV+
h985xCtcNCTY9GbVrCIPG5y0b6NBryCrk3fjqbR7i82qurBMDmEVK/OlnBNyJtWZI9IXf87BwMBw
tjIzIn3BnJN1GgLiF5ZpQSYLER5NTl1e20PUsCkuyycfaxqk30wo9oAG+j+BUo/MKXiuHXmDSz+z
9DscyDo7Ek6Ha8O0h107hIioQ5Gxh+sMvb8AVnQOEBhG5v1accafwE6SPfZ1NLnNucyVvm6pWw5N
5zBkcp0YzIIsS3lO8CF2az8l8hGUq/7lslb4UjSgZ5RWQ73CmTrpS9vo0nWX55Bc8qaBottL0T9G
NXXcVsc/lTJQIHKV4TtIpmxkr8GeLLaPlelV4bxqtc9G7qh1kaJ/Uf48dCmclkq4tHLXnSOZy3Vr
OgijJkdjG+vqWJywyZsvNDXknhKlM+aMJnEXL0ZiW2GMpz2ixTpiTIRPrQ9PZGLOSVohE2+Ez+p2
0Lr8EweGHLA6BcarVduDvcjLJnwZsGBbQGQSnOwOEki6ayIanReMQGw/CFZwH3VBtGdS6f1zJYwp
P0TeYGJA1IpxDwfezrdt5pooMLxIew8KoCiAYErnWcF0oNBPXYTdJUAfsxjnQ7v3iboiszOF+dzm
w4YNzKi27GAHsYCTr73IcCBaFF0C1euoN8NwlkCMxI5yp2SVjUeEpTrQnTUERFCPoKbICWi0PmY7
lJNexgbDLu5RzSKv69F+Q67x6+Zd1DMyWaFDDo/YKI32vgyFdnRYMmxUVrb12lFhwByzysZ7ESQk
71pGol6iOgDhn0XoQxc9+3FS6xq08YnSGJkJqimCSVM9hmZg2myDUhg8Y5xKhvgtir3GjIbvWpP5
Exv3BnVeM6ZL9C9zVNpQpXdR4vhPqveac+pZ33jFawza3p01DAL7jh1YzmJIC/YmIvMOylbD6wjg
CH02o+xXSwkgJwETxb2QAWvQCD7YNtA7544l9eTeBHNsCTrFjOoQWFG/IRiIF0C8FdvZ1GPMLukM
+iXyhPgRC89whMgeXIQV0Y+p1CLDShdoOXpZ91/YqNTC9Ho4yDKCtBaGvX3WWBU7ixY4Tr1oM2Xv
EdDw3Nc8CM+lncoHhkxkO2cOIK5Mz/kCFsDbxi1D3m7rQ6t6VI0Kz0lmM4pM2AZG61zm8TOaan5m
J3Wzg7Two66mCW0gaUVecwDTWD2xf82s/ZxthSHFyXqgg56ZNstaNOYpyfngNDPF6KiJhh/Q7oL0
syLpOCTBik1frnU8MS2cxCf0cOrIGaq/Cb0dn3rhuvs0t0ZsHM4Uc/bmBIj2/NUohtDKvBDgPt02
nYneGxYFXgPb1l4qTHhHY3TFI6lSXHpETm+RFniXYBq0RwZQ6a1lDgEA54EI55BO7Gwy6qXt8Hln
OXTb69i3sAl4WLAuHU0n/KbILF61pChRzDBM5xktzXs7goqx4FTU3oGWjKB4mKrBIQFpQ66y71Iq
eKpN3yKcTCW5hh127LgdQYfGUVFX2xix5TO7P3Vf5CL/Yj7tZk8Q3lBz12Pv3MVmHDJM60feyS6e
FNbHIrnxQh01eutLo1la4IqOfpuZoChIj+/bEG8Pcw2yj8FCs15O3/mshhj3qVte+obtaNHRu1uW
Pt0ldTjbyNjCsV2uZklrArryVnMSAPRGpYlLGWMbXU7KctACTRLfFLpxWK5R7amTExg16XtKApn3
CYvDIZrwr/eOAc3aSEL/2ZdDus/wbSEMSHlXASGUF9LX5C1xzx4m44jPPa7z5kZPs+k8DYITVbhW
c8dqprzrXVS7DB2EsZG17vLEB1EG/mYkZwp5XkUzWXJG+Pbo7LRY6Ru90BUu0i6BxD+xYe0cPSQb
AgX3NXm1SIoDNzfeJh25plZ5qId02YgrWQ+8IwRXElQtWGEsSquMdoxx3TdkXeYHoyl+rMCL24un
Dz3vb0h+kWM5wQcivnQnU+VdIhxH23AiAbrRWuOKhNv4nI42fTZgvGkb9+zuuWmRumdSz3BSxGKk
bY8b7+RDJDoOVov4fTKcFoBCFDav+GbBVqV5Y36npZd9+So2D7avBe94nUacQA1CcmMwr0LXFHti
q7nm/9k05i3Uj4ex/Pq3f337zEhljfBfRh/tHxpACXLzr5rG41f9lv6xZ/zbH/mPnhE3HgRR9Jh8
AWA9/tIzMpRzXcG3zfi9Mfy9Z9SN3xzh6o5nQSB2JJ6I/5iCur9xBc2yM93g72ICIf+RptGQfxZ3
Op4n0Y+ylxF0sKhQ/tg0MjDT+iTR6YDINJI+MgYCuiQVAIFp6pTHeN4wgBpHCeZmB7Ch3XNAJNAn
Mq88I+Vvn6zeInMlJ+XmWZY1pz0c1GKf+jqZwp6boNckmSDfBPgzrkXYSnffSdlHJ1ZxxYc12eqI
gMurD0pI1HKqiFS3CfDBRUtrCmWybjVUpAsALzGeODpvhNbkrOalbWc4YVxJ2oMZ1z10RhLAF2M3
DAxWtMR5pCyNQTXq4XCyUcQcpwbG2MENhXyqpt548h3DfWhCrb8upha5Ujc1GDtz9kwdzPDZ8RI2
bHt4oA8Goq8rKI0E4GEOQzCGccjqDkbtc9viIay1gxxD417kvbI3SeJFKXSZCZssSzpqm95mi7ui
sR7869ChPwDZMhGwUWSWZIVS9Wl/LbvMaQgcsNqG68KqEayhvnGYDesDQConqMFwYbH9rkj7PhlK
i5o1gVb1qRhjYYOBRH+2lKaNVdLq4/EeSxE3gZ+wi9607ZC2yzxqZ/eKp1E3wOtMPhKtmMr9qKu0
WI1oVwRXCNWBiJr4OmEiuOOTsR4EYKPd6Psj6Z6jd2MwHocZ4MX1sG4aUTwapolGAmri4CM/qZMD
dA88f1ZXDzTriXObVEJ+iME1o7WSmEIXmRp4a1wwMJg3Y5muFRKIp0pF6skNbItoYAocl1kC7QZm
VKc6xpnK77HdYCuPXQSni7LVtX5vDW040nsEwwpjxuAinhFIVpQyzTuKkGJnB1V0i/YDYGmnx/JD
FyGBY9CmoAok7MiuYqzdRy/AQRMoXX5ZeUg14U82W2C8ZABlSAn29lY3L3crOyIjWgGd4Pfp8hV/
Da7aTAoTaunk4UqWmVVam55anIX3oE0I70jgECslLfxfqqN6r/IAz68wCeNo3GlIVlYJ122BFoNW
FTCT+pb6BMKTvyIn5nKWhSwpKnoKWLdSG1/HW7sRZu7fZh0CwHkJ3W8SBFCz9cyjaxrzseSGMtr6
VJF5+almdtvezTSMnr6t6pVM4wJaOC4mFqE80dm950WA7RzlJvPuNDN+Eujq+FICi4JuO6wZ8PQO
NbX0yqNAfsrXUeJWdvp4JxoRX3KjB/WVj9PaIQXsFHhNehxD0u2qwSDJPUp6pz+PXt7qt3odFZe6
N1fgeMydjpERL47ZlvHBgoZ0H4Txuk2bsdvGPqLZfVbPXvMkts9CYWTEN56Lnn/ADK2FwP1Xvpt0
Tyej07EZ0hlkimAkPxkv6Ni5f6sRdRX9NtmMyaZTWHhJNelib75zk+jd16rwrle5fE+Yh5crEbRg
tYjkyqfrKEF2uNR5ZNTGs0spVqgCBnoxj+RMdy89cu3xZqpxOmuaFl9atiMJpWBrq40arJFVgh3S
r+20duSYX/hN6EJWS5xi46JVeyuG8pg3M3BqDi0ZsTziDzCXpa2sJZUrr3bxf/5zTZWQNn7TGF27
1Usa739e7v+jy53VHxfiX0yEo+ztI3xL/+Wmfvv8asI/VAZ/+8O/X/Peb2I2XDizSwKerfzPa55l
p8esmG4M7BYhO/zK30fD5m+ITXU2odJxDWO+y/++7DTFb6bjSNczqQ6cn1/6B2bD+Ej+NBsWjkEc
iLAt3TNMoiRY7v5h5wh6lvlc625z36cOchq8542nMZPTxuqDcpNeRITepa9sFl9IjBaZ5bcrHnB/
b8jK+KRHz3d0lMaqMNprlXnZ1sra+DWtE2dTTLI08NEn1UfVinKBCqlhjToGVxp+9jvXC7VNoTj4
Fjoz1k8g6TCfwsa5KzU76tehKK0PP+UyXOAVCzedlm1GT52j2EqPoO2JR+5lu6+mYC8lxjjseWQm
lt61UFG1K4FXPsug8j4TDWoL4zHSGNE8q42ZsxddpuzAPoPI8l+V7avD1MTAHuTQbjHghciNvHE7
GoJV21BhzzfSM6gH99pM/X49GnHBxSp0LnM1g50sZh2qmW56OJvgLYYQuaopx62f5hChJj8qH7up
KL4iVGJnCC4mRFH1gDjQe8Kq696YDgighWF3Ee9q4dOooc4okSHVwMr9sKFrHLO427ojFtG2MJLn
Ro3iwHS6PeSJgUIl685QqoCZhjjmkPk392lZhnucMA6pCBPCOk6Y6B0Ni/Zk+IF7rKLGOgVu47+X
Ax0SklBb+yYKrT1nzCueC9rOMx84r9Nu2VFVOVgBYV31zPrzFd4jojPp6te+cL8HKyEwb1agLNKu
yw5VUqaLmqYI8AmkaoyeirGxgRrZkRZvlMaVnRnxJp18j/tZiecu4OquZFrtPBttU6kSfZ6pN7vS
wLvQ433euoHhMKaFwtB1dofLqDdjwBv+xWV+tkJFmD1YIqUCa2hR2yk0XwhBxtRvAK7qLCe7jtI0
dpb1bEXB1IctFF7IyvGbdY/gBc+RrNfwS7/YDfuMZagjr3S9i/cKvQ4fOoxy8qZOfTF5n3ZpBY9D
p7Pn7M3sMg5GSvkIZrvP84rOnhRkxtnEdPSlMG5ZXeBu0jxCJIleqwlww+z/2VjNtWfVGjaCoNyo
MjauJnPMNnEvhyvGaQqwhcG3NhJe+pg6nlGtBkmqlZbxnnmxDkCtzsnHw0F9RCdf3jEQc45TVLqb
sScUzRziz8oiNpYxz7YcHeeSlERtMbXpFjWACrse41VvJ1hrmXo8wmz1rkJeXbskUm5ak/zL7LoK
4+CqLURwY07YE9vQNEOesolJNWo/sW1Myg/bF7hWR4LcnczOP5DXNR52bq3aafZsuRg0dw346WZS
xUejDwdMEPGSUnNliFbb1AUBOZ1Z7tyK0gqo/kNYaSsifQ0SMmKZLFl3/7/Y/OZ8qv0qfeDUM9jW
ClO36Zgsd96Y/aId8B1MQ0XDccCkEMcUZu9JLMoSRTNfx7w8Mb+bKQ3G2mzy53SggVgXVQ1rddIj
0ruIeju2U9d/o2lWqzzM06OHXTVbQnxMTkVg5s8FaSWbxgFgvpaUJNm6Rajmz2bY5M77eZ6Tn2cb
QbZp7XOeC+wa87nQ26Mal+DfALopS0tef7mm/huNiTPvIv/w2nUMexY3Dx5ANuVsJv/42kettTB2
BmKr28E9WAW4g4l5D5XuFcEOMoMCM5btBNXJqektkICb/cbtBvqgqgb6utACu9bx14RFyiwbCTrG
CTIVqZe/GAMFD2GGds2p+p3FWKcyJ+xIhqpf3Qa3BQo4zL3NAamCi309+qiqoVjy3cpuBgBHe7ah
FQC/VB08vQkPRpVl+BgSyEzglM19joxLLkUi2jXvI7lpfRIjRulwDHtDdkMB7r0WbpK/UtvRK8g0
fzcyU13ZwVhdpUENB7yf0UFt7zwXWu3vZYZTccyi7o7/62zqSUXPMUSbA+CtaUU95yJKlfa2B3yy
LSTcfMPtxz2YWyCfENJ8GD5GcI+XPO4WPULZJT92z3YxCTeJ5elb2l65Sbhk16mZqJY7SDHLbfz6
0hq2vgpMr7wwv/NWFfPLbySgCAfaJJm9DbjkCY07MpEFUKAAwV201jauvcnV7s2mN3a41WHgTK4o
vkAXDhepFfJiO0V+EyJ3vgGbgBtnFgqbuhWe/ErUO9aSFM7uqsWzt0IrjurcnbkyjtLZfvV9fzvM
LvCONHYIjynmlxApBp+IosUm/O5eEZSwpIthilXoxrtVmv5D4Vsk/flY2Nu4N5cIb3oiEQDhvmIS
R41nGu1pqtsQzmgzHPPAlafMTcwNU7Ho5NgjY+gaHRberHgE+QobYSnqDko7du9rlgTlrWRjXW1R
vo47O5t1L5YJhbjGhu91U3Kj+rA4y4FI7rDJmbQGZnkYpOPdomE09uBTKFecvQYmoIbOMxrhfcrE
kN46g7o6nocGy3bsOv0y5ppYjhxVzXxmBZLTy5/PMTPQw9ts0rRvCNf5RzefdWkNhaKvcaYhAV/k
JHFup5+DUf0ckpwU1krNJ2c9n6GQrzhnQIxMHASoRJdwPz20tpy8w3wG14Y1HPK+4MwtjWp8xmDk
blBqcqLrRXXXOVVxnEDhvNpsrlZF6jhM3mtjk/1cDPF8RzjzbaGnOgytZL5DqiCJyBxh+xMtSYzg
ChJeyf7bIyOZxaBeOQ+jKOxrsJMWRpn5XmMhZkJQBORqbxsBvxo7a7lp5ntS1fG0in9u0LwM3Pe+
BLoBN0O1SNKNqDziJew4Q9sMb4af9Fs/JIwHoPR8pU8CMW4waphYcjvqNsRqO/ViaviInJ+qYZwL
CI1KYppLCkRfFBeJ7GNYaY69Cue6Q1A++l5Y0UozNWJ/gzfM19RwxM9bruC7D3vfxqnQ5uDUSkqf
FUET8T5WygDd4obWikYQ+NpQwPNkjJucbaOJ9ybhEuc4yAxMfNK6ahvbvctHHRFz3YQY7MLa+6qm
0rgZWNh9dKnqbqJmjB41Fbf3PpuiBuOmcvZtEGorjXnPsMJDCmRI93p3wYwWF4Fmql2tVQlUIv4o
54bBqIEbyr7B/hQeSr/MMHCS270oe6d+H+ruWbDcXHmuNm+tTGFvsP3pW5cR+YMT8MJjuoY9mHK4
ICH8y4fAY0m1KBsbvHpiaTdoj8y9IwfrPosLeUOqgr2MHK4uhsrFQwkmJ0IgXqd7U4vidkWmZ54v
ws6NuXhLzBneEDdnIoGDtex6b0dhKd4H+toP4KTkgYK8QKg78qBt+n6yxUKyyoKaovM2jqynt0nM
O75McXAeHFmyTKpd7eBVHQCheBgOscN2DSxRjbS9AvsTBZrAJeDeTCDRHiCpZ8sBLR1B1j4K44mF
Im+aK2/BbSevsSn91SSEbS7MOmvfmR8Gr2jLGHohKCb5JPG3/JZ3AYtozU9kr1sy0I5G6fHlx2qW
cpWL6FaryGXIzRTLXsG6HxPVKK2biJfhJ3G+tGW8dIsS8lw8fQlDY7HZ4i8BFB9h0ipFTLNOyDRB
GIZ4LhoElN3YqLNtstsIdFbFPVwc/rAzgYwLQesAyK7WjH0RRNADIM+TB09Y31nvvQPBNgkcyFIa
JBxse4ecFZ72nqKcBOfgjrX+uOXkobD2E3GJh2gFaSK76FZpPFuVrnadSsun3rbjJ78R9VfC877y
IK/supZwQk9cTJkyTwQFJPfEnJ4J47rGvzibtVG4qmGQ68TlruCxYry7Ft1AVAZQOEkYHHuOvStb
7l0/sQ8s7MwdU9F4rdf2+AJUlOHIBDRk6DVQQaH0P4w6sraMC+FYO8Vc1k94OmdoBUL80PpUWEm2
nlXhwNHB50Z1Fh3L0QjGI0ldxZ3UOuMhpH8hK5Bgwq8uQeWzNJPGPeXgjM0FJpj4Pi97VAdTj5EM
/Wm2wWdTomdAp+HFJTkb2pwQi3W8lvytXfSWRh1RM05ZH4yImJvYbXjtXervewWNINf7dunyQkdC
frR0ja+juk5kE+5ygPPr3kubbelPA42TaS4qGOX7AaXyNpqNbBj6nOfsx93mz0Y3XK/jxi7NYmPq
ynkNsb1vcVjBAnQ1ZL1ZOvLU1qMg3SMP43ZRFs0+TnHo+Oo8OeJ7nl+sQf/ob22nOdfIsbgey4cG
uApTvbBt7oygHrNtH0XTZ4xgBI+Ce8nanKJacbdDoddXfVf3W1dUzWIk/mUrZr9ghD7p0gaQiUH/
cBRXdVdzJHWEP4P9ui0dH+MhVwnf73T2IzKemB6wN5dQS4Wrlrpjn8SPc7GYTYxpXhjnmJZ9QXi7
PKMPMW7Vj+XR+rE/eo6n3RNcZt6Yet5/kxziNzPrC1/3wgiY4F9rBJPv6iihLNLyc8bqzhIVuE78
qg4xB/FWRqriFMGxac+Ousz+HCUALNChs81TYxq37D2wcyWCo3Z2g1IQHluju7KFenaT12K6I3SK
3T3ruio34u/YDq6S2VoKLlHcOrZfvfD94vKazaj9bEtNZ4Oq+PGqAmvQSJ3gnt16PNEvk930j/gx
zBdfJPaTRCWyxFVr7ZvZEctNEJ7k7JJl4aGDlE9xSM4e2jgO9hhi2B06EVjYQYW3yLTk3Th7cW12
vgsCdXCQzG7dKQZp7eSJne5ct7Yn7lNneGanh98hL3QT7hX8icCyyfrFfr+2ZmvwpAHbxy+GbYix
/XZMHQswTRHvrMKmkQ2pZMcUhFyH6YSZo439wvrxJtem8G/sFOYntjFE7SkulMTQw8d6tj13RgvQ
YrZCu1bt7SA4hfBhohHvE4ufDT+DsapmN3VHBspz9WOxRkwWsE3I7oKcQxSMnTZtuvnCdWWI0kZP
HlNtLA+JBRor8UsKsiTE5I4HFs2dtB48trzrSZUkl/z4wFFelBgEf9zhqdbLJcmRPIFJLjiwpxqG
tFQ8WfwoxbL1MtUtujZrlyQwm5cxB6esoWT7KIN/5+5MliNX0uz8KrXSDtcAx+QwybSIORhBMhic
ktzAmGTS4Zjn6en1Iet2W1VZt0q1aJlJmztYJjM5RDh+P/8538ntQ5RwQtA32Wya1pt4q+jskAtW
2G2eg1hA4aaXseA0G4ZqgFzpbiaqYE/CCsPbHFMCrN2fLsIM9IejImVpReGJkoZkRa+8vaVpmRW9
pFDcH8xt6s7TDQofNUR1cOVeThQNAnkiMgptYCxkLMioRs+G3mdTZcxbPboR1yTtczeXSXqK8Bjz
LQgtCCCF9TV3PUhr0eTfUTiMrGikPkqb0GdFTRWRlhALXE6yiBqzInmjoAf8UJWI8OoYPclbBu0L
d5X25Gi3O5qTh7KEact+iQ2nX7dKl2+ZZ8NVL9PiFBtLI5JfxocSX8XBtHW6Z2NTnXNM/IdGD+ty
ZJQcY4iDwglmHE+xtecdZj+3XNcurRGz9MOmtdUZ2keEt9EyyS22S1GPcG/G5jBJvp9dHrxhAV3j
CpJXkfcB228/fvFIQB4Jf6ZnXzcSfJzhHsMhvijbG7p/loD4j67CruNIrGBmIKjC/PurMG1YIgwd
W+4NWim3rsMeqMZErleVC1aRsg7uv3Y6qifl5TlQUbwjxSaKSuMBo+z0E2hVWW9Tx422NBqQwyQ8
7Xyi6djsSgOTAg0rmom1578VTraYMOXkiEA4QWe/oQrFoU2PG6Kx/i9R7f8fAilZgScpWPzP9fjb
j69o+vgP1fi/fuhf1Xgp/pAu6R4oQsJktSoRP/7dqG0iuLPslkuYaHHv/ynGC++P3+t5GSAYcdAH
fCL/BlSy/kCxFGzKPR8POTimf2Xnjiv7H0sj0WM8D5yLcD0fdcpd1Pq/0aU0icBxTuZmt+h/zsas
VbRHv4vu2SOZL7hnrFdZKcm5ibX3rOkPsm7Qq1qa3TRDkSP0fV0xvHC5nZwv2h+DpzlvAw6+Qgnv
jG7VRS8KFti0MoxCLvFvwaaQwORo2OaK+PG1wvT07LuFu26jrr8vc/NlZqNLZUQ+PGm3zJ7UnOdf
HW7z+9rM4oNgT3njzXNEoWTWXbJkTCEA+C7CDjU9Ge2PEYAQ3Ciwurnss2xs8/kkTWuAJdfJ6SGg
bgwPn/bSgsV5dc1HL5uvfdBwh1mA3I+lKVmS0qDVP2ZWgaludgbAHwFHBctiR0T9EcBgX61IJpdf
hiE7vKxVjgWV6LRqz92YB8FNT0ra307cvuqHaUrKL6d2Cr1XwZj0tGeo4IsSgfHnbHELP4gawjNx
eha4Kh4MD2xyAGfc8DjD713p50txg9t/twtJ+25k//yeis56KjyRcS0J5YNwJnSjOD5GuCuMm9KI
ShPehIQhxXzcH20PBtuqCmvgFGnkmfMqGksU4h6+tRWD7Fmz0U3IR07mEx0Z+g1vn/rqKqP+HM3G
v8t8OhMwOYOADaNBOWs3K4cTbeHtPlchd88Et+me7wotS62LiS7FcB4AYSrnA0A/HnFWq85QurLk
febFccU5T3iqNXOIGTyEaFpJYbLMigbBMpzY0NC9rtdlhw0MRQpXrM2u2HXohNnHEFxvjDJWZydP
PinZADCRVwlaVlZgDCPy/Ij8p1asMZKVmfJ1d3DR17ExWxEYpLH4gKkcYuXo7G+VZvIVlZwXuWXy
tH+PSp++uTKlGbsbf9pWYVJ30RuHeAQhGORMKmY8t9Gmpfzl5LXZtbRjPa7ymqS9O9GkSKHRW12n
+lYNugEgOc3Rvmp9+VlnGMKZbY30B5aEjuyVcBHDSP0TzvUdgQGrM+ml+b0pInZKuV9500CRApWN
rLmaUtWccV7rTZznV+47EKkKy6n2TtzC4LeDp9Rx+rfaAVRslj2vdzQBcDtUUyd02RehtA8mhPAP
MgNd9NqZRaTXeox4suaUWLBIwMowHE2/jVAXu5mdVZGZGtgEzLKl7KCPfjSDHqFFW6otdgUO5PFc
Tcpgq5IsY4wphR3tnMQD5YmfxbpvGO18gGW192Zj5OZWK5VvhPDJOucV51ll3LlOE9U7POZRtxsJ
qLgbh+3etEaPsd3dMI0wC2NY+0w+Zk7J1IpqkXyk6hQu8i2yFaqNVQGDesRz7OTXSA4JrBM/tIbX
lleXXJl+CnwNkgOLGT2w41vn09J7Cce9OGBNbJ/MOHWP0g1U9Zg0xQRPF2xo/Gvop/JMhJtLl83e
HZfsbKUvNZ8o3KQiTmgia4Maw1JYl6AXsSZulOtjMLXMOSdwAt4bo3dnhf0mm9PvOgCwyOAzqG0Y
l0lz5JXJRbXU7JnIxDkPNeygu5xi2S/PGHNxoIo5IOfsuPVPuKI17tgoqRZTIzYcKE6aQ2IUz7nn
WM+Vk7FRMBPL2aWJow6uSQPpOpKMgr7LEnA9k9cRmxAOCJj2iBDDigPSB3ZKHKGAfQ/u2NJlaPCL
OC9X6ZgwpcZ5Pbz1fS5pWnXz1wInLT4Zd5juukEkN3ltB+OqLstxyzmkjM1IkcjBs9rhtg+q4BIa
Ev+WjKNgR//J+AB2fFo7US6utJRFOGZbN8aln6viGFaUvq3KFCq/VU2QWdqBckijrp6QVO3XrPWG
nVVjJoQc5R07PcBHznhEZtvRMNGKVJ+ubUOM8VbRkztvcfR0e3PqgnNJRnPNxcgmBF5k3Spy8pJC
y6L7MO1xfNeD5bw0tAYePYbeHUJweOVpqeW+svzmqbDi8SexUudLBNbwNADqAXicP0J7r9FYKj9o
tlFfPMadM8YreMzlTcU20txjqlMHdEd7kzW9uycLEMM7c1r6UiijwAkl0568B3URb4oLWLXpmrw5
Jd4kvwNuMPQ6FQ4KSGAe4ral99fPyJQU2OeGg4nwuk17wDsp8/cho08IcToe7lw2fwXVdK0V7yaL
L7g1lfWrJB517sJ4YZPkyG1nUhGUBDT1XDxX6ZD6pAUynl15X1IS73T9iewW5tmC2LIL7Ji+Rzrs
nIe+m+zbuEqCe0ABIsGlKj95NNdntnPNW9y7NNoN41jelGOiThltBHwuEweVa4/1NdOssDGB98E9
n0v7jg5lviRW4zG6sgW8Ch+/i3anEteu57PJin95UqTPzLzxdggz3cI46PI3czbnzei2KOh16+4L
sLMbqku+en+eLxHLijsmF7AJQZ79mCxMg1VgaEDzhcMtweoongqKnvebD0PaMrX3YGJfjzCCBdOD
1Rlz+Yi0btwIp6jfhZXzAlNOtyQqiiqTG25H/cDlsml/esR+3xtZ9g8j2pp9dKM8+QHwRqn7yWlT
3oyxk/8sMDd/hvYCX23GAndeg3s+5rsKdGAHa98n5TYRYqWA0L8p2fJEGIcL/jlFLnGlBXkJKsPw
/X5Tk/ImWFLxi0nYug9OzCWUth5OZn641stoNHmL2k+cgUJAPIkQCyoSn0Rn9tM8tN9uEeDtSXr+
37Sj7tsdWrpsKXU/D1SU31D0UD4kBciNVeNPxFDctI+fQRPm+6jKmpOOaFE0vRAdsUZno1Za44y3
uKZTRtDwsJn45lDzkvR8hn3ELy6ySXCo46yJd+Vkzx8V7d+AJ5aORz0Z4WfbjL6Dd69H+FXSqajU
GOkyvFgscqkljRHzBB8OqjNjN7vClpjfV6QWrgym1ItqTBKouoRdCXqlMy9WlKG9COLiPUi6jPeb
nQ873G/AvMKEFX5L9G5p8SOEjV8xB3zpuicnDMMPu+uaLcz8pRDNoU9CFZXlrkrLTY4+n9JWcWZS
qsru67WVqvqczQKejV347p2O3N5YBZhVyWVN47luyvypCNhcreq6cO8KSSCQzbxujjnOEXsrHFVc
OPWnDWYLug8ZdooSHkqongkbLOcOxfZOI8gTov7A1axDhqbNVMT0CsAUq96ljnnUkDic72ua8KhC
Rub5aNvC3fpR3BTrjG7we1uL2ln5Q2YlYIgck4tx6o+3bQ39A8qAOT/TYR08BVWZyIUNMt/RXGIe
8mLMKQ72R+eHiTkiekzIBV4qZ2Fvc8DIr5bZssV0YE7hruHJfMkpdr2J0iKkhSdr5cGmILddA7bB
o6b4nh1MjZ/CbVvsAa5V+w80edBwIfNBPHo8dTalp7qXaG71ow0e9YJfh7ktcqvmIUUU6ndmgBbG
SGKYxHja3puwzinvsfcCfQ/OzGPIk8l079pV8okF075WJQf1wYPzhcffoCnN7eky48SjfD5taL6Z
ZPzLhw65YRRyn7FXFtaOdbh3NXH4oOPFvl4HEYhKLEc1caGpDW4iShffEr+fL5lZGz8L1j2PJv0E
+iSaNoM4O/nfQG11eWYxC85nblwQjjhDX+ZhnA7pDAGPCF+iN44fmQTXCAvmO4/k5LTROafQoaoy
D8RWbDxDT0v7bYq1ZG+2bnvKEHbW/qRNc007s721po6a4lyAOTeTbKDuLO2n11ninaaoppz4vT7E
HKgC4w6APqzEgp6SjaF0vR1ypU8ETcyjlXU/RpOaylAVmjDJ1PGJiOo9LOhn4tHEWjPCYajZw/Ps
Us6Dxny5dRHP1UpPlAeZHF4r24heRAIvwqmJN/IqxCHaBN8F3eyNZ9fHkcLSbSXbdOeQz9xLtqcE
X6bwV2iUzb0jCs6/ie3Bqh65HWIX2BcZ29uBEQH36dh7dyooistI98qxikvoWpORE7dHe62U330O
SVs++MYE2ZVUYs/s4hdPDs++nSeH5jCkgQINkDfrIoiuOudobjo+0WkmDTXg6Fz5fRGy92atX9KX
uqJavjl3QvGkxpmyGfTwye2hPdJEmlDIhX2BaN/QfiUVDtBtPKSEgWJSnBR0EVDKK6+9wRBj0B88
1XQIIbw5BZCyAF/BxyyrLxqJmK1Ygi6PU25jZZTjDJjq+mYyxEwRoVK7Poq41erJNm8DTblPRJif
QigDvU7hZtUE/B7azAQNXo1jfQJf1p7JI+OhpnqeFgi3Nu9dsmFrnALe2S7CJ172D3CDT/3Yvdjz
4FwcH3ygJAYCzjFBGLKGYMWPs18HiYq5uM1xdBsRv0vW8dSlL4U9Rq+m8gKWKhmm9CCvnskkjR+6
TMaLNwtBSIYI5e00e/7BE4NzLEIYKntzbNCdzHic3zxh3idlU98n2JP3YdMeOguWToJglXNPs7t3
ps5wjR7t/mimov9Zzs1tFqXVqUnjbFNZZko5L2jjnyIIzZ+KcYNG37HYYWGRpJ6N+dQXQbN4qbvH
LOLvtiWVHoqr8q5KFQs4xDIXamwm7gqW/E9Uz/QbDOesebrUaN+qkHhka4l+m2cYotrJpmSa1tld
GvgQNoNweAwVBTambM0dK0Kebp7n7GzD8l5lXhGhYlmt+k1f97O5ZRq5pLwaq23WVyzbis7KtpVR
4YjC9JKzlCdYwyOcBt01u39W1K1hl+9txvC0iYyu//bTsPVZwY5yXFsiz7mZtFTktjxNvmph4H5I
SJUd4lnn76OqkSc6W6ThyjfiUl0yYIQvoe4Lxu8ESkxsi3cBG/QeGodF+4dRWKvESamNKvk5HDtu
NzsP74gJUGTUL0k1Di7LAixxj2XZ5PmBLnC5hQ3VlluZVvOPPipdtodVfxwxjHBfoIEB2CRcrMMi
kHwo17C2fUKNH66FkYpb22Fdvm5zuooAXILBHHpnzfOlfIxSv/0QGBYAH1rZQbj6vY6L6GQ3TUtN
Lqi1jTmgs3CvS60N+RD3qfKnlmAAfo9bNZICXdt5TZRNNGL2wY9mtrGzR4ONlxzgXb7ElRYm/GUj
gGsdLmBsH0b+UO40+Eq+EW3QUQ/XmHOziump/C7NsbuTbElezTGj9iMirkxkvvXjHxrg/g0KTs5S
Nq5sjaQ1pjeGH9vZ0xC28yP+8h7XCeiT5lREYzJuZkCAWw0zj9q5iTe57b8FWZUF24rr295GnIOS
O2s67PCQzbdcOut3SF5zwcYbP36i2OxwNTOeSknfpeHNzZoREpNpV/TvvOV0fceR7zmnqsvieyu0
HVocO/mKMkNPBM8jJunS3edJWt65QYnVtla4eTSJgzN+U1JqQZR+0bZl0OOIkwLXTVQnrB1mG0By
EmSgQK0awWBllwIfj1cO+IlqjeGGNF6zXAs7hR6RVg1Qs7FsnQ3nejfgclNL8LIpqCCmqoXQhXZG
3u5NHE0sBs2stQ8NN7EYb8kk033vU01SJ25L+1dddj/oel9G5aag7lVTPvqUIAe66xDFEqz1QN2G
ztjirKOMF+aK53Ti3VRu5nwooyGwSF53XCfDlDDh8IiafJdwoYNn7GYIysVtb5WvtGjIHxRXEarB
s2VcCklsbd0g5DekOptpJ6eWEVYD0T4yiVNxOpckj8Kpa7je4cCs4L60JW3SkVTvTjWV+9zrvLs0
zNnQiBzi6a71Ox/TqHQ/PfQPYxOTAj55TgruWTPz/IibhTxteVTUxpVnXzLIn4c0Iy7CK9hOrzB2
KBsEylvT7sLdgw2PIuMLoDo/W7GlBOGdjDdJhh+DuphsCXKGIjOgA9FemZXHOKjDDqKvFe+T3qet
PEzD8a33uGDxlcjmpZt8Yk9eNwZ81b43s8dM2hmsdkAL1KpPmJJB7FlP0pdRv3Va6TEnJMo+eU1P
1wa2iPhDkChCt9CjYe1oXzGNddaznb0J/G4mRdstxT1Z7EnqckffhYlrjuqH1m2zz3Lh3SCI+HqX
S7AYqLXpV15l4jYPJoJLafI74tL4tXevO9W+VAHug2owCaN3E6Rm7HCy8NaJgaWcl1hnsavlpXLT
AhjMV2yIAd90vQqeMl1zmx8Fx8/kWfHPcBoIOnWgfsSZc4ImSmVaEAChJ2XWUY7UGO6VxG9JRLnv
5o2GY/pZk195Tj1BkDPROCVWiUDSW+nWJwMZeWiP3AWMhBxqDUqpYJWqPkb2sadR1ItPJ4jlHb6K
pa+F85MDO1Yg7DLO/3mT5ORkNm7eziDAcgvBBs/SQpHSfXkHvnCEODwl45sXxhhT/Kp7451Ui3Nt
0pKoaHjpzqUpYEoNhm8HG8Nu1FdogZvbjaKLGfbC3IAv7lecK2M+ptlzbPfOzRwUM1Txrq3oaOYx
CXXUI7vseEm5NcTSHtWX5nQGv43tmlukAZ6yHisqHYEcxlsR6flBYBgp95LJqObKFMBtNHnPswl2
wtsB+uqwrtt43lZmvCTGiZJwoJpLxpxT1e5XMhupnBnM7jzB8a7Wi2dmXqdTiY6maxMxCQQX58Ac
BeC6ZzxQpOCSjCuYB+4gjGNCgxI7j0eIHgz+yhwUYtFU8AkrY2zC26bL3XCXZtZ3nxjyWkvfQnmM
PXgTRtGO4CDjNuFtnOInN9KypjeTYxPyS1sZD4qrhnwRep6w6tGcQrgZaoQcrN7Yca139LdD8uid
noTa3cagV6/pKJ2c77FbbaLB19eEBqIDCYyo32HR8V9K3ZWnGYIXULOISTqXZXxJq/RHadjhttC+
nxzx9qO4L6YyVbU9qa8xzD9Y6BhfhS6npxhrobGBbmEymnLsTqeURyFF7TLNaJ4lxHvAeIiWnfTB
J8Nc/dOMZfY8U9yu10U5NFsua9GNYbFswui/fEVtiLHP9jyC3FHq/LIMGFioFvZuRFA4Iek469h2
u0tjTqLb0ElgQ370h/lg88K9QnQsr3hXeAfEiaU3kVDisaZ3nQXPvFCn2Y6Op6jqyt2MvqJ28+D3
9AhSdossUzbevKNAw9YHycs35m3U2+iWuAriO8SGhIKA2ernc2nTb3loRjpLblAzJU1jWAmO7RQ9
RhUt4yiJ04cZ6q1NG8jin8qpWpvT4ZOFDKz7oBI/mMlGl2dbHHmPmNgQLYpElitde+qpFpZ8YhZV
My7GyDfWJqsogOFJVb16vll8B4LJmc0LOsBaNmb2C3OfTNYkQNMNCAPEflKEFdHp0V45FIenTJS1
l+3/Szav//8RtPixEkX+z/ezNx+U1//lv31k5X//y+mj4Z5b/11k6q8f/2dkCtSjJBOF/8xyHNe2
4FX9uaS1/wCLRUDPNz3+5UkW9n9uaW33D94SLn2IxKMC8TtN9eeW1oY3yZbWImoFXJL5/1/iQzoe
q+C/MdAbgBtI7VsAtf5+OZuLTlnIUvOeSmhmOE5PC4QNgHA83f1dyZal2AZU62mqFIZoXnWNk2xB
n1SnaezDY7FAyScujndePkYbaKT+hsN4PKQI/PAKQ/IDJQjeYte5tMEw+aJzhDQ2ICBPxwySJiu8
aHodFzcaKyET9QeNgtR1dW/Ri/KqiBtDmSqifbb42YaOiSZQQXDM54EDZPG9ZXlU32B3d1akwvSH
XPxxPvsOzWG92OZYudIiuHjpIOFnu37qAbX/ttoNi+sOTio3M7bq8kx5Nawfzrn2l/pt1uNuLp7a
xcHXTpWeTlXV69NUS3EuxWjsQtZd+wn7n0N74dKlw6MGVBPPYrTrYR2KEplhcQ/SktxDDsFRWMU9
MEouFG8QS+It/m5ioYsHESVromsZItupUU1or4O/uha7zFxgDZl7my8kxUikHVvMITy5YC1/OsCT
sKWXxkYqSkM5WfFILm5JdLzkFR96+ap00B3MxVUJlZGCPRMR+Yb7LewTjvV2XYK0+GTuCW9sMsFi
H/mQc1fEOdzjYPTQXwQNjk8GHTvj7ez4hNnmLg2+CczMhxToGbMxhQgnz1Tlh0HVD5UxCPBrI2tb
wp4pnQVzzJ+iEQ4UtRJU3MMqMg7LlWoLWAO8fwoTMlp+p+0J+sWU7sSVmFBG9pufwkbUdvmSMNAz
86MjqufGHiRFhb2ARwR728e3bmZscJ1EqvsMV8ORW090ccH7rq2S1Do/7oIyE+IQBeCfLpouoQpH
bCpwqhz+SHGp+RQ/gMeDZHINoGr5VLnYmY2WNDBxsV2INUGscGHXx8gxpl0GQfl7Kj0+pwZsGBwm
KwqIPfFSibbhUImr7zXhB34Z9A/QFfyDtSO5CwaBTcSwiVGysvJzyFi6oe+kfiiESLGPB6WlKUgB
+gPjWV+1k6pvBOUIFD7o9UloMDNuYXG3IdzbstgbZlyfgUy77hBLw/zC2z99zPiLn23+WndT8NT9
NtnR8pamSrHa9DMNTWCCJbV1tm5KKtR6wPXklZiJNyz2uGPIVBTFZuxdh+ha1oc7YbCouTB9lQiL
fa3y7RSPtFNX7HipbcHW92hrP6FRoTQyvNQwM8U2tiqJn2rszF/DVBXUJGqL63g2qxqTXe4vUJzQ
vbEmXzXIxkHALDN+CpM8x2QV7qeTz+nBJP52HRULhHG5n89WhaqUKlzvlixHFhKx+sDtpI+ZVyfH
cgqp1WN3xXbRa4N7cPiCzGCT8bXOkbDX2NP4OY2wtU7YDHE+Qf7WS21F0NEFQFbmQHyTCJEo4c31
ZfCrFiQHNmNrgEDxdfQTWXn4qcK433kU6tzN3DwvOm8M7gBudokDF66LqhkwV441Oe9GPdnolb6d
0XiOoH9O+SEB8CrUO38IMPDINC9NbLGodAKUKeZgvIveee7xgcqOIU/3Mj0jEsGTdxTDSr743P0m
JrvIEKW3JUupNZidpEdjsyBb9Zj0jpCwiht4Z2W6kTi69Kb1RXiOY388TCwet1FNjmVLF3h4pr81
JUJomFwOqtpvyoU8Zn6QBwyePbvLtpCLgmsxpw8s2rBYsH6DCCHzHcujicmTvo0nz+2DU8ZqFeeD
oz8LETlQohhiTWLoKA+kpih1oQa6oacRuEZyEEjmm9SNhq1bVcOGtzplBsuZnk8wy6rWATKhRucN
O0LKXQt+/d4lMglvLdV3BufebQZr5D5ojJosBQqbWdTN1eWcv1QUa2xokEbP6ruk2ntD5Fy8zkme
LLo3f1k+tkcwh0m/7aQITnM2EuwPTH1gcB/2zJc4W4IIaM0g8oIhj6zsphyy+FbRZZxsLXuYf2JH
aA5xkulrhrfwCIzqIZgpO91wWgItDOJAvPHcBnhfJ6z2MW14D7PJVaxv1FCxMDRh9rfNlN+TPB6x
vxfRNwAPdcUXGz4h9aACEycM0B8bPNBN7dxx/64/hizzXrGH1huIQXId6Ck7OA63OLRSy9jRA0Lk
VveD/5CNtn+ml9LbpEix5742nDvI+j7hntgKb5RiVTqbaoDqpPVORbN9bLnJw5K06BBC3Euvrt+g
J+mQ4C8VCPUvkyRAdCfYTnwYkNZIpCazyXWOdiam9XE8R5pdO50soM5gGZ1nmfVvolGsvB3YFjNP
sX0fZMVyxsuIKTgMkUwsJydca5d3dBn5JUdgJX7ZkJjB+3D8AjkjiIVZal5VnWw+Q27gCEa52PVD
ZdzM7OB/oX1Mu8Jq+sda8Rha0diZ7G1CJQCgVfIhNJlUvK5C3bNiM0lDpbXeVS5qt6rZqnadg1TR
lH53gnZhnfqMHCfckG6/uG72k1Nw0hl8zFFbiihkFY6XWEYeKjoe6caTFd/NtnoOh7xmK1YKwMG0
ACRj0VwHtybeKkP/qYmD/hL19KfM2cTzGkv8SRreHYHr/NgsnSvj3HCJpIDIPwc8V3/+3x3jF+Lu
Z4F/SysUxf/5P/4k8G4+2o+/+5/tbxbBQ/ernq6/mi5t/y3Kv/zO/9Nf/Muv33/KP8UVYXL9303o
pw8WrO1H8vF3czljMx/151wu/3BdAQ2R4VrYi0vy3+dy5w8aKF1e0+RJXYw5GG3/nMst+YdDxnbx
VfJH+b7NL/05l1vWHxAMyN/yKw7/4f1L7sll+v7bSK/nSunjBLHB7HrkaP5hOvcahES/DViHNe4B
1Mm9FybfFkdv37JnC9sHbpPfFeLXPzERS/8fXcQe3ZzYoGDpea7L18J15W9Nm9A57dmbU8qp6I+l
0dA3V7xLeBsNbm+poyAeE+MPcjxGZ23M17FBnablNWLBazXlN2FdQv0JGUuPwmspfxRywocNAh/D
hoYESJuii+RmNpPkeV6NDba0PtrZbigQH+1iP3s9/jvVejvVBAQKeEvBDpgUDjKvvh9U6m0wIX7G
pqIsBOtZDC54jbehX/lVfp2yZQxBLPYMYVIID9TRGev4ao+W17NX7u07i9HokiorufN5iCwpBuwt
toyX4Bl/XziNzR7AZPYwucUW2MqZTGtzm5R8K4iNWSiabKeR4xLNBw88T9ZZUfWftmc4z7iexmbd
dJa6x0RVn908oy2MfeRKkP+gzXtB8rB2jknhx+oFg1Bw5Rk6bkPcPeySCrRJ0QFcr5xNWLT48LGb
Y2OqHWOH39AmX7xgjwejab/DEQWGmviAqLmK24Dd+dAITKEeAJY6MJ95UsB6UpiLvE1Y2tG14QjD
i+NMSb6Grx7XK9CNS7RGRidhm8NpcI38LBycLTaL7btRZ869STNGtBXYGS6Ehfw1OETzrH9HrTDP
X0Y1KI54zg7qpyv6oD0/o4CP6qB8XzjdeO5j2e4iI8zXS634LtbtfMqBNDxXufS7dVU2mI9wJBcv
XK2Y+ltDGitGytLYd7IPiosSNjJn5CT0LBLebeGNot1iYigDAAlF5xw8k8U4YEdzfslSYbJZCH3V
sgKbrHbE+CWne37fUK2gPFu/XMN3za3q+hygfRtcIm9oLEpQyIKvuxoTpWsZ7bFr+sWQmxeAKhTX
IQZ+yDV7J0IIo2ubUiJ3whe0namuCnG6Eh2izljKlVc3MTdBv5yOIVT/BmqjW97iVW7fie3wQgIU
9UNhj/zF+q385Dujr02SLzOriw+xmtIp36IxRz+cnCzjSnesCEUMBXLlmVZ/4YbE3zKLiCx0mAQE
RMjIvA+l02BcjhfCqkMWjFkgBuwa0QqyFXoUO5rLp0dRzPY1Jx8ChgJzLSHYrOKaOQf9+FllPkJ3
rIbyoQ+tAPtREb2yg0nl1pF1cRukoEWBWCvvpW9xLPsdOestYtr4kRVt80wPFVclkdfeR6WZUlel
b1BAxxLBXQNjArtVWZX1y6CG8DFqy+yld+PwwWNa+ZF3KbEoPCDsLsRgm0+MyISaHYs805bhLHss
PLoRGvAkBBIrRWozhKZA+oUx1d5pBoaY73tqsLwbGXQQyb0Z4IqQeyvqWTxEikBD3+IWmfy57/cR
/ahXEjf4XgNlpqc5gS0Fgj/kFEn8jExblg7G/VROTcZ0LZOXeDKItJpmEVOem/vFp2nWORBu184O
IBAZ8Cwj9idOQuEfu1zz9XhdhtmxjGV8MbI0uojWdztCSK6frGdSeg8a9O0LP1KXe6qX0W0lS28b
Ol79qKhhBJnlMCTbbvZATjPezsiXHm7XsfphNzxNfptk3gYoPe8c5vxEZZmjM3ItRg2FqmkEa9zz
MTMXyi11gOjfS1Xw0JJqH/lMjbK96RTaNqyxeLnD9jnHQh9iESOOPfd3Q+sNL6lJVno9OykRflBh
osQhyIjL9ZWGYNW5brk1LSOnsxjbGQk60V0MV5bPchrdbN2EvU+yecidH0M2l1+VmjGeYxDmSIcF
wqagFTUyaJlGOKyUrCd1tEIDz6pv28ldltN2dSF3Ts8EMCL7pug9QgRNauOYmYwOiNnUWby7qMXV
Hizt2AAeXY90sSqQu1vqnHER5Q2ksKEhSObYdIZthnJWBUjkhVjKC6empbFIkJSdAicUMXgTgAEM
OHflTW7Db7EW2NxYy25xX2V8iJxvAuScdSlkCLO5rt/93rBA0db+SxfX2U2f9ckJ9YOD2Gw8cJk4
pGqCXt30muHd7NZK6uHOaROZb7OEk3rOE1LUUxLhqbNdx/8CXeY9jokAmQIMkAUo7e/Mt51ff0//
i70z2ZEbSbP1q1z0ngkORjNy0RsnfQj3mEdFbIiQQsF5nvn0/dFT1Ugpu5W3gbu5QAMFVGUpFe5B
dxrNzn/Od/ohumP7ijYQFwnpSg75104+Gjt+UabgYZm/FGXYHMPUKWMvUev8TGYhYS2iCrlZ6J6m
+vZEopqANe/8felowxqjAN6ZbuOCRQ3ipGtn1yKgfXTbU1S/JrdjbEtmZSv9EIQzI5YU3/u7HuIF
2vQ05c2XpZwzeNZywMthMTPw8b3HJI8pn+y9yuB3m4Jo/rJiwR9ZfqvbqTHlPtSn+RUDiHGJzXfC
0ovx9BV2HpN00GjY5UNKNEJvwDWlA98w4LK1M+cPT2p68zb2dofbRKNFcwrMW1219neSJAQXg3h5
srmRvrmE1AThRhp4pzLbm2LVUpyyA+fbwCT6WGKazzy7bpXtua4GGJ0PzbyLyRE+MFzrL3rdTLPL
ehjUq43s8bmkBGSJQ9VAXpkaOFy4JFoaGhSnyRQXyyTWxtswcDCJVvKdp0t8Jw0IjSxbVW5MGxAi
S+aXeN1g+zPTVjfEJ9H6xbCI6SJThc3Rz2oEPtre9ifYv9wEKGTkRpN3zMzBdTmUL0PegCBo4K2S
0cR9noOF3rExYKrVd5oaYNMJ+SAXC4hHPcNC9vJAYJaMJq3yc64E9cFzs+2ZB2F/NJ1vuImsE2Z9
h9GdMkKYmPhdDrWmycteGK+1DOon8oHiq5MSATwona/Z1gV9i18T0QoiI8XNn47UEjI7vRr6LRk9
5163JIVtK5Sd4rk0DFo/mvqEu9PCB7UZR2uFoA85EhwMRkIimG608tQPQryMXc03Cm5zwUZo7bAG
wmkcmkzH1QVfmsclD3jjs2F+XLJOZ8x7m4JeOg3H9I2MY0Be+pwP9O7O1IGqCCX8Mp3y+YhrXfsa
xE3PuBT4P/btxtE9/HPdm1UPDHmzPtbeQk0y9WVIn7xP5AXIr5g5Ao+xaMYD4zQhDuFQsTeBLDw+
jekICgMuhNVezESraQcnuhJ4aUJh3RVmK+teL7LF2WWjHLNNvGSM28md1BedNNUHDW2NNxGbpVo4
85u6cj2rM+TOHkT0QsshSqJGdgm/JqfyNG+ZmOpzA0NzQhMluLwkG2CR32YjrF51m1wSnYGjgHGY
4BTahJ2T70SMZ7INYvxIZP28qQrNmz5x4EpLO2K4D/JCs2cAClNxCF0bz/mcOOIuqSi5W10uO7Nt
sq1yA8Ejd4A1E9gMblXvLESQ82+cXQ08u6X1STQl2RI4wLzSlMq9ZfbfXCYRqXp+YqbuF2OOCeZ3
bvSgzUZ+ZfYj14+b4nkSI8tVZllLsXfaZH4J8Ek8tgBXaNxb7GkGMhm2xsaYq/7TZTf4TUQD0R24
5lHulVagtx4ob+fTcloaiBctih5JwoOeLFtTXI0tLn+4RqRCQSWtA2Kw6pFv9DO1t5qa/Gqpc5ii
LCpExAK0QC3HNbABWg/OMgAwah56MmWOz4x8Pgq+iGx6gYVwDuBJS6AcgLEtZiviMVbU2XXObj73
0yUZ9Au7yRhcGxLDE3GO+xJ2/nZRFhPnXCHp6Ghw2xEkDwPExNI2dt2POjRkqR3TLGB2Mc0xTb4q
ki6UmmGNymOtAOdlpVlN//WQ4YoxahyI4SIjDeG9ZoekgWh8GpUonwysX7sKDKPc9mmln6ZlwmrR
tQWWjJDs/8vcO8DNc62PvqdwWBF56UwyNgXNoOskgvAZmDKzfNZ7K3scQap8UK1cHmg7nSgWjblH
C07GJSD6JnlPRBnqKIWVfYM/hpy1pRWZuzGxPzDHGdgeungvGq4y+GB/GAPB4iAMrJOiLOu7huQN
aV46NG16BRY22L3GMacVjX7LhKc2TmjP3bCbG6E/KrIi+BGy7+jGk4Jr7wDHaAwVyM2QoxMfbBka
R9lQplti8AUz0tFKwSzE0Y8B3LF1WcaL3SV2c9taYYWhLBUjn6PNMQ9YVLKPTaFfAMa0K08rkw+p
GLUQC4yNE6dk+04mxclwsLaNqN05Aj4huvSJIUfudxy+mIIjL7YCBkipdT5GTnMzmvKm5Qa4ibXA
2QKqqzx6nHTODWw/Vq87SqXq0i3gTQ4WS8z0oGcCBMpJ36VWE+8Lxgh3o+hyuCtN6XcGu0bU77kJ
eJlZZJclabKtBh14bapnczFRY8nQsd0VZXagnYKpEfvLsE3H20I2+rNe5CtdnfCAT2ntC9Ce3uti
snQDo8utWyWAIIrpBuP1BO3M7uWhFJN7EahAYHWtzBCwARBjCmXq+EQ6ftyUTewAX2uyVdIrGaXD
cRBeGbiwAVi8vzut2teO3n5Wqy8/HAaI+ANJ6lIbnKNCtf9iAlT5wGcLjY0L1DdZyb8iep3kAeqk
veUnptrtQhWd8iarmtjxRm31mDedfsAuwsB9dGfj0coj7YRhqt8wBKgOYHqGp0rV6VvQ68vomfoM
LLBXRftmpRyD2ADE+GCLABv7vknS0WElNSefpA6MWWwV2YdmAJ6llZqd5XDm0SZnNq1x5tRmK7I2
TRz3jhIlOLaGA9K2t8eBM86ZdNvHVHpyzGSn4KfrM7M6c3GtMyPXGa2ReceKzoVZw7LT8dZeuzNb
dzpzdqczc3c483cxo8HixX1ZELkvGdJ6yJnweqFCyrduhfhWZ56vMN109h16ZC7cM/E3r8eWQPiZ
BEy7gPzurHjgeAUFt+PaOY+nlqHhmSTcr1Dh5swXFitqGFmAcNuKH8YJDYk4dFYqceDI0Q+DJZy9
qmpB0cSY7uw9OjKH8yQrBhNUoalf9oS6Dkye2D11Dgb1XalN3Tdgck73vw6G/0t9lO8VSxKy4W9c
DNE7QIr34uNnjfQ//+aPkLn6w7VZeEkDEi/406Xwp3/Bwb9g6Wh/9Iqca73+pZKa9h8mPj3+AvM3
oeQa/P6hkprGHy4sKJczru3oNvaF/0nGXBm/Al858zmWCV2eHydWufRntVKn9CgMNCyvuSGWxstI
nRYbELEgDtve7pkf2IF8aTmuZOylJSyairTqwKiiCQ2/ZUsAfKuqh4eRkQuKpt3Zu44U8ZUz9d3O
GKPuvhw5IRdGCfvEzheELeZQB4yxxYk3lPvcCeNhdBEmrmbbGadLCYrqVIVlEd/YfR8CXgCZGPsr
bCw6NUqh0CXQBu8FOzTOWvlMsYGt1qH4VOsFXUuKiQysJTYmVPnaDAaouQBd4Rb2AJo2SO6H3q4P
NLUo1JWp+GKTqXG9PjD6D345w0tBfmYbGVr9o2qlzfKm4cbckNQJ9iO9OBwt2ICWMJyQTmwhh3DX
WDW85hjjfum3EDSv485YD3iYndBrVbXoRzMNyPwB7MDChhcpUIeEzbR+EAtxYXq5RKxIao3IT+C3
tLeyD1w2wFRnX5ZByaEl7+PLFoylzo6wVDFWRUXWzsnmrvBySzXST5uGopRy4NgUjmX/mmGlQPLq
u/K7uWjWZ8Qpj9xDV1WXPA/nq2lkpMbEGQwv7hR8pBub6dnB0MzxVls0KqEtNqXr0k8smlKRbEur
l/alrQVTGPrl23Iv6lbeaqYdVD65qQwBsx04agblkD2W5Ormjd7pXQOiX1ZrZsUxPmUFns7Dc5G9
LqqjFLynVgOr8VrVEsdNbHlR1TTQV9Tq0OgDzT0RQqp2mD4HHA1tfVuRomAe1DQHcG31fUSG6bqm
wYuWX+jyI7NRm24sAvDvettN1zrz096b69nEUadS4uyduaXxuPLciWp15qpkzxZmBPtO1MSmbWPe
RWE6vag5mK8QyYG7E2x+nohqvgg3QamyFjaZiL4OpKdueTDKaSJmBYJKdNPgpcDebhI0wm2WUkwl
2EZe0U3i7np+1p4a49Yn/ryWdna0uAtEsLDlLY1Lg/asxXDCe+QVemWCo2F05cHMiegWFjWfth7l
zw2gLw/hixGzyAl1sOND5t/UwwnljG++m8cksMYxvXcH26L6hN907HXHj524PYEYwFhCr/QTHJwK
Q3E/Ha2uwKqOrudB4OfoRtrF9YxccP3BxoS3TDuWO8sc2LQXyXTDd93aVyYuGpyNdvHpsIm6Q5Ay
/QSv0sMSjsuzhp3ukCmwhrsxqQHZWFNVPINTMl/IZuNKKbv+s4+AxyvDvgBh0x9Eys9OMAWOMD47
eTubef1am3l7V1Aa9j666GpebSr3wYx7uBFRhpwByN2GpcSawuGeMcN2tOYFkKY038cl6aDg4TN/
wj0c3iDqpjTcDDl55ETdOI0l35JIIyGc20HoDxil76nZCA5w8Y0LWAXZh2oDd94AiDNJJ3Kyu0kU
O2RQE0n1CYnYIKrjjI9E55dPSD9j5Tv4op+WWld3cz7dKrK9jEyiLm88/NQjv6dWD+SCHePVskAE
7jllF0DKsiy4tizVHzn2pvcB0cnvhMnh88phml9StwBk3LI0HyyIE0jMVmB9pg05OD55i1xmm5ry
sWeObXp9H6M2ZnZ43+Rh8U5whbt/6AvyLZQ63pKpHUyvIrvA/t6h8cIMO8MLl3jZIXK6PloZm3cC
TFvTYYfOJItME52/VG2YtJmLQDRH6NEw8DmLYUEitIuZaXbselvMUX/rGFbGvpUYEUIrugBin9ne
h2ZWs3Wn5m0zAMZ+SEh7bKW06gs2y/IEji64D6EjvHKYILiuL8GbNrYPepVPl7Sf4W3A25zc4U9L
80M5puwZ2wW0RgBX/yJFBJsRj2eTxq7ZupSp011ldUoYwpCcD1J7cq8xhDJvTxat50JkYrkbJXYC
vBQd3EY9zh6jIbTfzEQbt8MQKg4jkX5nFcl4jIUrL1HX82NMahUCbk+7G2q3e5MX83wYygkLWtJo
DTfZAHEy08dY41TYSQ0mIC5ub5RufcWtYD5JcHp3sK3Dk8kx6ji7Qf4+tbX7rpGu2mNt4D2PltV8
YCRQaG2x+TgYeE4WUaitAxrpMmya6huJvfGd8wQxzNCyOwdbfVr39LuPzUHCHuLo2mWIikbxGZDM
AM3AbuPQa521G2pLmzl84FHrAvpBkhH0akkH02aYsSiQR7XLXbfM80UUDSm1TkKTXqM7OUGcKeV5
61Rufe1GLC8bMrg5nsdxGN9p6sIWFuVApqJu7j+twc77GyPtI8ghjiAlTYFYcRXEyGdFH893DbV6
K1Kpbe6KUuWu16KUwaNMFIkjhvmXxdDXPLwGmV637UShVZSXx4hTNpliKzE/KAwD+qUhfOgeWlF8
cu15dHemOehkabL4mWd2GnuMX8hhKFLlb4Wt2acsc6o9VTfuk0tQwzNUQ72KUyZh4aVmzxknBo5+
EQ9t8YiwtNotyZacmE/o4hQVs/VSVrqciLg3F9BDJOSstiiPQzvWpw4u2f0EY4OGiijd4dhkJOCE
2WbBnXO7FC0XhDJkvFuq615sty4/aQJbXvQRR3zW1XgZFifzEw529xwBBcRliyA/fC75gsgf0Wo1
WmyHqJSzg4ukqeRVHEUxOZY6fSk5JV+xYavFHjY7uN66dbNLF0Xi1aXLazPF8osusmo/S+JOpib4
OocCqHFTiUd641LANGQXNq5VkcspVKueqAPvi22VuWB/bXqVi1Afn5l54jRJzKY6USnmbiOcHPom
xUh9MKcsOsq47C/mGV6uSVJhHwTaDoxLVJOTgbBQxiNxKJMMLcPf1QZuqfTVIesN86+3nEMDPv7a
mvsIlpyhD98Du3W3TJe9ho3RVq8Q3gyrfS/Amh/Gka9/36X2yeicR0FD4H50hwdDDdVLwwB2P4iG
oIcaHFYs+Af6nuEo2mNJ0vCB6ZL+Uk86Q2iEoEOMXzPHnmTE9+Y6yjv2GiN2r+yrLkRlNcUXt+3m
rxXhgHgzs6rTS5gRuuLxE7T9YcELCLmGRkpPDzOwHXzMBFWD3qY+kMPua1zLkYvocn6dTR6fe0BL
hkfxc3qbzAV3qsvkzCeSot3KMn7M9FDdrlUEj7Ge4G4viWxf9Ah7lLOtZJxKLzVOpbn+2KWJdUiy
mUcvA4tdqMPtAG5pPZLvDLjkOwJymypv7as21/VL7DkCIRKxZ8JGRVtklF/kBixgBI7wtnW6CqaR
ca3y2LiWbJVxtenjXVCX8WW6ZMYu1WKNfKPBMxYzshnZnsJ+5g9Bae7oekiuDdIVl2G9mr3A+9r5
IU/D7qqh4ajdNBxnnkl6M+NcujKyfJOwijzVbBCf+7AhdmRNInyuWet4gs32faVGM/EtjvfWzqiL
jNoBzXHR9SBpPSXN4l6jnEW3oeo00EPhPEMDnafl6DRD/aWVhnxyMMhCYVQMy0QxyOdWlvYdi50h
Noxto1duYH3HsKNgC62h/XDPFA+kK8OrCl4SKyrdCr67QLTCdBd9unQvQZUeQ1X7KfvNi4I+A0oO
oJ6g+6iu1Q9V3pk7CwU7OgBwtQpWzdnQwIeAxd+QdK0JHeg5n1IXkmAWfaviLbRr24ThJbR3SB7t
A8CmhREje3a/YoB3g4O2fy2VnCsfrmJx1TvKqwHgdh4hUbY4sxj0G4cx2WubTpzQIgG86aYtIh2d
uq4z27cjQT2gqwWMOmg2RFMHZEStzlQZgp0mX2Vadk2Xqqueg86gApfIlOKr6uV93VKom4Ge96ti
hrosF+OlbTUR7jupOyd3HmHBJGYYP5VMSOc7sm0zPMikFJ9478JyX9U5EkWgd6sspBzYJRnhv+im
s9aKxiwr8cM41BPy0MvckWfVfM89g3po5VBfuwgaSsPqjxVlODR9XpxoiBIvLEv2vYQPDaM1cNd4
f/cwzWmbsptaXoCvK6gPERhOlt+k8xps0mDIa7nIPx0//1uT/k8WMjpqCFz89/LI5XvaRu8f4/fv
1U8CyZ9/74eJTPxh4IuRrpKWwdd8tYr9CHeYf+g6/DtdOPaK0hP8yb9MZAa1d7bropmgj7hS8DZ+
yCPOHyZzQPrNCX0oU0gEnH+Z6G7/tIfhv8OOF34vf/zz/0GdvoXN0rX//m+/FEOgjbjwYpXSDeJU
Dm16hFr+6uWyyzHAUcVsXo750c3bPW7w7DLMm7euheyMt4tKZWSGpOn3gYOLh9nuM80f+mXZDl+s
MXntq+ZaNsvaYzP0h67ubtlqYGACrAEVRYt93DvCa+zsS+fgdtXd9As7MEqv5qPlSozzveT0Vmme
OSY3f/k0/ovf7mfp5/zLORZxZVL2liIO88svl5D9Y6NXCn/KE9+gjSoNPoumutWl+pNA+d9ex19f
SfBJ2tjiXIP/CJI8P1/GUGOUMNDd4LcGcQa2WkmhXc5d6RtV6P/+l7L+ZvwTq1FXUJBh2fzXSm78
60eGRXvMNfytxLyGbyqoIWzlxUs3rwce17gIhhLqghzIq9ey8hmxtp4uBda3sI6osx27w9JXe8SY
V/6tx6LIrzTbXHzbbr6E2niCS/Bu4iyxK+nbsvzaMAv1cIbxuC/qy1mE2GXteNwFlo6JvG8veBK0
QFHSaSv0ePSjYH6Xw/Ja1zFzUsVxIWXW+PtrYKyf3E/mR1RGF/+lKZEObdyIP1+DwFYRu3mwb6Xj
7COydUY+EYKOul1F7MYtv1S5xIdMSjliKLa28ooh/8hweP/+jZxf6Oc3ogzDMi2F4ROR0fjljczR
NIV5CBA165Dh8C/gsdfUFydscWEb2besT08iYaCYZaemXx5Le8Y6lag9YQjytq55Z/XNA0lcNtxw
9EL1viThWz4bO0649//wZv9WcYlzk0UI3L6u1CrI/nzVisSByE0V+VbXFyxsQHSVPj7ybH2oNXlF
2Oex7csLzquHZZL7uNaf4aXALhRoJyS4moXyEWPZKLZHHMAjDwvV41jB+Pn9+/zbp6skTZ/4bSXK
MZWf6hdrK1WFisG80kgcZw8VhIMd1vZxU4/Tzbi2ZAZMd/OEyaeQRHfTZnkb6uVhzjEqIPf9/s2s
1+SvH/Av78VZr+lfCKW6rCBMgcHwgwKHT8VJwDXo2yNU6ZjoW//0cuc16dfXw4uIaM4npcxf22oU
fj1nof7It7olR92tQOh2Dan1kW+FeDDYYYEDyEt/gNLlMYmKb7EOXWB6eFMzqOgkoeApHHM8nG7x
hQ26h0V2lyft4xKTj6NcKEMIduER2vGdm+u933FMJfZ96XStOCSSU25lkH1umMXMBFy2eDdP1Lqi
CeOy2wpRX2a1Fu4CnPIgGdv2gGdu3pY2iSs7x+mAW8vadtZy+/sP4uclVjEkkDwOdImBURrAYn/5
UmCOyNqy44MgK4dcEO6S6npKSPLnV79/IfPvt4nS13EgMQReyLJ/eWzYC8wlCiKjrZUoatjT74Vt
IBk5VestrtUTootekml8EPVy0fXzPcyo18DJ1/xG8AYK1Svs9iNU2JL1FCMKKcGuuVptRb9/n+Lv
X82f3yf7h5++moFL1zTSK8ZgyaCRkHSKcq8n+ZeAB/RG6QM13tUQbyItajfZVFw1E2Qmp6q/hAtQ
s3JctGusuhot9bV1IM8wXCFX5LAhxvQAETrYh7UkmE966rlH+PequrseSiqwRNUjf3XDhD5RcZp2
eWGpD2T1ljmjO02AUYFZtdHqON/Sk9cTnSlfpi55D6KKgrxqnN9mu382yXX4q8ngMydpRvaKI17Q
1+GpkOWyS6Ps+ffX7O9fInY7tmDXw2OaSfYvdzOMFbYbVuHCyQzo+UpZBAcvtjiuVubu9y/1t8ET
XYbrnkNxtKHv0DZ+eU5PiV73rVW6/mAu1rEHQEFZmXWqMDA+R1AfNxluN1nMV234GSo04RLP5gas
Bkb6rmz8ZTYkHwqGA8Od/+HN/RzpXW8mxUiOu5ZoA3fTr9u+LBmM3GZEg7k3O85oT7aGBPT0D1fg
153K2uaoM8yDGW0oapp/uQKNmWLhw1ZI2g/L1rTmy0A0AwGlcjCO1qbd/n4Mq+o9q+2nZJzv7Nai
fRHwpBJFv62XHNG/iYstjvlbcoTRJYwksOQBEtrv3+p/9U4lg0h7/VqsEY2fb6UOvZksfhz4joRu
nMREgQFVUFYQYS2EbCAjtQOQd3LAIPz+lVfk+k/rPc2BZEzAnNg8le1fFxs6e7qlBFDtQ81/DkbF
EkNQyC19C0zpMPd49up/eEnjv3pNaZjmWs/Nc8b+5XNx81kHvmVTq1cH+9zUKGKMq+lYCYVkEbO1
z/tvUTo81ZF4B1P9buIk9wLta0f+x4u0srx2puIzIUxrlIoq5sffXxLxtwXYIdcCfnxdhOGgn9//
X565k1YDPTY7zQeID+6k2QdAM4KE22UZIwmWfqENky8RljcaLqJjv8g3VOBp18ngtalhxlArcW+O
w2cSRbt80nfhADBSS+PbUab7ioaIjV2uQ5XyG6kZZ6t6iGfE9i5K/nipxHiEKQRlmDnWPPX1LrXb
7zNiVD+LV6MNfbJ5O2wlO4F7bztY6M+/vwJq3Tb+9K1wTMmxRbHJ5d5xf93fFiBpOG1Eym8H9Wjm
9h3JtoMqBqjkZGnoK+qabWtHV9UUgo0O+H8YU22aOWu3Xdjed814L5qEh4FG7xxCpAf2hQc88RQn
178oLDN+7hL1NSzErLbrALqweNcjc95RGhsQc5cqFKNPCu+dcqqCWbHzMFjuq2HGV0Zo+TC2LpqE
pwHqnj/qOJMpAf6I1gR7b9bXTR/7A2/U0PMbCGSXU5JcpswKN1Ntvw9dBxQGUxsY7X3XyatSS/c1
Z5Dt5KYwOAoQHAJNcjtZ9bbUdAOOisEYN5/82YCkHAlQWxPGaf7oaNrVt7EJb8rsi1pc8GTf/+Gj
+NsnYbFd5tbkaLcyGn5ZGXpZBMiXYGws06shiSvmIYcalbb8sfX7fy2z/H/UYiAMvsZ/udxryu9H
eu/6Pf/+7/929Y7BBDpG17z/VUD58fd+uEv0P1zyAjoSCn4Q5DPulf8UUDj7rY2OtkMIjsHdfwoo
JtoK5hZcZ5zNXKJm/KUfAoph/0GTMOKKtFgB1+PQ/0RAMThz/vINQZ0RKx/Dshz2pjxa+fO/rFYm
6L+pM7VpO3eVORwkJHHi8a3swASJz3DluuFS5BnsT7T3wXc9WxuNs8tRU1q8dVQCBaaAcPSFLb7r
XpOLxvxoFK35zaolzacxAVw1CQTt5uy3zM7eS+TvrLqzmzh+0YQdhw/6LMbyjs1r1rJs0qvolaJg
t9YUMjB9kY1N4ydR5ToUmskUsz8bVlbB3ORw9adtGcQc8S3WkvC26ELjEzVebEnzmwRF0t6lqARX
qplGmnndY16A2R2NKAWb2KjTm7GpxkuS4lhd7dX1akDvPnYdAUq/sTFtXAdnoyyIKz29xx/+BZ7R
bOyhquKyrZVJDmAMYKtOcRSznkyNSC7FQJbYK87WXYpnoAPgexSJV4cJrl1Hy+WuOTt/Z5PmKm8c
kji5aS2d8BaJpidZt9alpltscZbWGbID1UNjemQfvNbNhqjlG8QWNN8ZYbxlvo6X2eyMFMVDh6ih
EevgfIT9mW4y8wZ0a3lpUKh7RzVj9dripbabbp1RT2nZ+0Dq7C3IqraDtCidjSuy+IWfRkpxCJtb
6AtOeWFnFc7u5ezyxi8r7tOZ6MLVWmEQkIHqhbthioM/nA55bdqNpeRIxXYeJp/oANgfQ0VgwNNH
xPRDwwznpXGWsd/3VRjQiNxMs+vZZ1e7M5r2bTFNxujFTtAWl47Ojhd7Y0YMrxwq40CyDb88FX2p
e6HTvVCdML5jdHeI9g9buxgLRl4Oq7VhlWa5DReT/92dTfothqVgN6fpkFGwQ80fHgMeY3BCKzQ9
EVbTYxtFWkZrAWGAao0F5FFJIIPx7kfZBtTi8q1DF9fPAYOhwTft20bpbqJG7y/CbK1PqLEdMHBC
x8nJJgF+ThLd+lq5BhCZyOhhY0dgZMnmuEQPwT+H5dEauwo4fdWkl+xWCMHE6ha8uXxqW1oxoCLU
2kXYG9HRGUeehq2RV4AzE+OeoXf7trizZMyassYz3NvQlOCYD0EzYOsvM8iXj3ETkjYxSLXXXq9X
80NcWMtHHuXLFfO3ZsReVkbGTdMzQNlMoF7GrVks1XAgTZ9fkfxvusMEjbX29WTIXwGG1jduovTa
b3B4VH6APFp6mm2Jx3qOOFnpZi5hfBGp7xjJF/YlAMvI9qtwjimHnsHnnHqLNWHThrm4aiqjJ2YF
+o3GgCSP3zq3NKetmoGPSyOklgT3qen4JRUlHGj14FlbsmC/qIGA6lQWHzSA9dBDIkL/gZheKFzI
vRqwlNobdZO/UgDBfcOhv7shsYjpSeTlqdCz4bENJTVINNmyFtCmiKdAWLfk2JCPhGslh36A+VPE
BvW7iT6Y+aHWa/Fk5Gl7aucxfLNTM3K3S8cB/44Rj1opJOQH9i6GrB0ZkOjrVGkQr+HcEptbm0H5
emT1Yyx162JalEDho6BN20QSL4UIlMw+KjtqjhZTNIs4rrM8k7gtvtVDObi7IbOmcB/xxCHmgpMd
Y/UIU3AIx+uoLrWLQJgEXoawzMaHaowD4oEYvYUfYVFtyeflNWZxM6iOg6yyfj/NQJ2g7+tV4qcW
xDpvAQanezaFdC9skdQNztbSAxKivRlhoIonB94irI+JG2XjEu/yA620bR+ZEap9rjHoy1j093Yz
8vWMODlq+teuz4ytY5YJmZm02bl9BNatJUvDEp5bGPuhcnsipAmeQz1GBpwzLss+88ljPc8uUPCp
t2CjiIoOM1EH97AGyFHOoAM30hwV0FnboIU+Y7p2p/ecsshdm1hwHY7U2kksZoKyi/PtEMbAa66E
FSyeE7LkeHQI51s4rbpkH9j0t0Gcho/Y3YvMH8LJwNtjxZxpDBuM98a1C2DLZEHHJ3deiCLZ1K/R
hsKVj4kwCnmXTbVmeoRc89qLcfZUvpxXL7DJiew+rk3seqwNJM4wV1NKF+EpNy9i7K44l0j5bQtW
M/xdKp5OaRfrNAeLRSNySTp9msoq9gb2B+3B1OIm2HW17R5o34s/JD3mLwXExDtt6OKczWq8fIPM
htAFaN1k95r0DqMLygBy8CHJcmEUIk0xz639ujEFdTP9GospNpTZcREgaLF1TfPktk2XmQ1CY1nv
UODWwFtRVI8zkZSrUq9Gxi/plGKuS5kXuj3TIkaUYX49MSvHsRUNzyOki2M6h6610zUy9UmuO+Rc
HSLIV6m7zI/DojuNPybkSCi+Jxt0mGTvfFejmA8Aiw2qAiOSOOChiIWWSzpSBjqGS+k7xC83Bi0s
wY3A0D0fRJ9U7u1MRm9AxFHRFTEz91Wu1TKJqZ3qc9uMoneGeXi8knLoognWWhqLRc4PwrWqJiZi
Qkbra1KB/osr1kxTX7ttqOih5yZE9nnp1vKbliZDYtsU4hAnpRuHkHx6oU9Yb1hjVo89TTqzSGho
Hfsk9OcmT7xhgmyo1YU6GrXSzf2w9vLka0MPBlokSSOktgf+TkSEaS3zAetvMsW3sc+pYDlq9RI0
Gz0ktSDOZUDR2gvEvGT0ZBkthwlNFAsvFRmbqBrhBmRrr1ASlmAz4SJ0+y4Kx5N2riDS5dhtC7UW
ExlJrK6Hta2IkE34IUYZvUbt/KidS43Mc8GRWruO4onWozxaC5CkWtmODWsR2QtrMYcLHL/yKw0L
FHgYRWZqx4FCJWNtVjLXjiVhogkDcDceM8Kdb7aB2+raSurhk2M0FU2hWuuaZBeRoI2StcaJUxWN
8rNTgeo5Fz2VIp2+hibtT6Mo4uG5JHkb72VplB+1benNHa4HaqPMBNXoKM51UrFrcBnD0O1nxihB
9WHBVsbRcS6iCs6lVBrbOSbd57KqorCGh/pcYRWnGlGpc7FVOa0lVxZ1V0NbpeXRbpj0bywX1WdW
FoFTGExXJPXiQ3wuzWLwAK3p3KR1LtVSIqJga+V7Yk7FGXAbL00EygiQS5Fo8SFwR+sGVT0il92N
5ZacZY9Lt6IgV89CnuXsQT4aQdeXXaho2+O8oBCclA0Lr/OsaQUVYeSTHarFikwW73Ox1oix0LqP
+M1occVXVm1C0RQ3PXbi534iLJngrDCOFtwhjMul+g/2zmNJeiPNsk+EMjgAh9gGAiEzRGqxgaWE
1hpP3wdJVg+rerq622xWY80Vzcjkn8wMd//EvefShleBeEbCLJ5MarVz08pg66R9gO3ql74of0mM
6gJlHKeyrFw9IUGPBzJd82TBbwRsoD+3fvOuQWWF7NWnLPUDLSl/MIRVz+KXAgkqGc2M9DsKDiWa
8qcqIId++KVH2qYdIplV5f3wB14SNZv2gmy7cp1f/mRrgJsyFiilgE45UpO/i3EmcX0K7+MFYamw
7QKI+ku2JG6BbZA6L8TL5Jd+maV5F5+jXyqm80vIVIyFlqmVCzmTv8ss7ryFqAm7BrpmtIA2Gzro
8djh3nhofkmckRZo99Evn1MzeMpD8snu6qkJ7vjsz7u5xye4IqFXdOt87rorwl7DdRq9PLIF0EGO
URVEsEEN1toNUaHofcLajuW+iXG4PgPaCXE8aoiWVllZUxHOuipOpV51V2MYcezF5YoArMirzHA8
qMzbPHb4jds3/VtCqGu1gXuY+PBHrdohb1ZK9NdOezco/rwNQM2/lKO09xCb68RFt5wUu0hxFBTq
mRFFnmqGBKkZvaK8hq3ZKQe41gAvOj2zHge9J9GcHBKWaFndQwlIbQsaMg/tOTCW5qywmqTg9Sbl
NJrAkW0KcL38CuX8ioBxeNP4Lsx1TJKUcG1+3uXaQNO2NfR6fKtQu6q0Y4lxIYpbfaDA5YaNZzht
JDaEB18vxu/Mr6aNOVnpvhbo5HcQNIwTTYPtH8g30D7iooT2Jmhn1hQZWHzC2YGQMCfkFY3awlrR
csPQ3EjzvSytsO44/MZaiBx6EnscZlFBQ076D46vedMkKWyBUKi87r2RBzufbIFy3YfpZlARWq/w
iGYXTaUY8nySqsWhcVAYbOiIVX0dREpMV0V7Y7o0uTNJyon2JlseMHduu2WzG6jGYvJP0fX6jLun
x5oFoUHyqw64O0Il9NVXtdz3YSdeszG31+i26l1Scs3PGj65lcRbt62TlhijHHgOk/GANRbM/Nxl
/AcLi9y05s1QKv8SWIQpmaIOieGySUAKCDRHCRmnILzqtmgOVaH56rpxfBNPXpCbHkwFWDbdEOCy
6wmp0lwgi+PFLm0HRV0bkUKPg+UeSPJjuGTurcABY4vI4UJk5WxtsBCS5kQg8WFqBHhhAxllCbn5
avUwmcvaNGuPt5kY+Qnh8V29UDr1urOWTI+o+Yzb0Gw3AETbeme1+RKzFbZfZTv3lxHAPYtUxvcg
h6F18kiTdfZutIO6Tvk9/GBxnO/A9rRU9pF5A2/ExOkbIC0jlvVU9PMxsBzZrlIJG4pdJOYTw/xs
IGxfEwLScdHm8GJCuiStUrdNDMZx6E39mezELz5umNxhHq46M/pK+yjbQ7bM1mkEwyuLqZCh8ZyN
TCkPmWz4hvqivNo8w5uorYM3aooMNHk0mfdG8q5qEhgenyMK/VxfRxOJFei+5D7J1fLeL1t1W9t4
fbk410XR6FsR5dYXiQti56u1sdfLZDfnNsJzs0vidYmSfxMjIryv0VsTBGSrH05t5EeU5cN7V5f+
2vATrLJOO6nwTJPCDDwuyeFz7kyQ83kiKrgW0j60SUXRVcHmTd0eafy7TEx78tgwypup0+tdMVLT
JwzCt3FcDjuCB2n3+zK5DrY+ndGXy3olh3S6GcASOSt7aOfvKW4IDUmoIF1pZPbDhInqZtLgQppN
btATp5gRy0Rda1Ty36ky1tu6JeKBx+SlcpoOYlshu1Njcom2ZlzEyDukZBNQOMGuFdO2Su1kmwNG
Yj5cMvxIzLJ9pNytGFBMTemOvz0H3vB1hW/kx9ZDB+cyIVo4nOdXQVriXV6Ad1qBs24wNCwhLblK
PGwkuS6Z3Gxlke4HLSi3YSrMS5eQ67x4chEBMWym2FEyQi06DJBIHyURePSnnWVUL0OtEvk4YepX
pSXvUsdod4jvxttUxRw8Yh5BKp4nL1Wqqy+w/cs1zPz6jF1SeLCxtU0JaxOs7IDUj5xIKhp5Dasl
n8eKokOJgL5CnLvTR+uMQXhwjcoyjpPUBIWUM6MqZyKdw2aiR+4jWB+B4vU8xhsTRKALGye74aKK
YZe29jOQc6yfQY0gkmE2GQ0ieIDDQxJRpPbjg2mOzWZgpc3nw+nkhVxCG5BFbE6ngehnjxsXY4ae
p5upDarDPAeldhxFXLYe0zTwAWHzqmAMepBm1ZI/Wc3N49w7VHtBoqP8jdUtY3yV3+qMaBO6n1vn
QcsqDajUgWSN1FOHcFj3UkrqnDmxPsY8fQeYEbljwb7ORH/w3ZNjuOV+KO6qeYDFHvnKOdUJ4TD8
4bmNeVg7keVAqcKy2MpR9pg4R2KoUutcSh/tfEs7wHYBq8fiDJPREfJSvrfU2v5WW/2q+JTdDV5V
CjJ/uprGZHojik9XEIIGWLBnfqQU23CM2705zsympmI2n0xWIq8ygYrdgMTqgy46WlWL9Jt+Az8z
hS2oDzl9IHnQH3EyqD9D3Sn0A468Eqa2jU05t+dSmZLhFPYs+fhvIWed088KsVHjgawfd5TeE/r1
OLsmjdR2sD0qryYuYrpVEx+OxbIDslvhr8hSDqmkSLvR9r5qQaxJYoxyUEqG7lbVwemuZC549P7Y
Ev2/Xhj8/wffVtldMpX9V5uF9XcaRn/dKYh//6I/dZkW1lSHrTy7VxUh3eJA/XOtQP7xIg5AGOlo
f2L//tRlavbfgO4h4mQnt+wbNDanf7etwv0D7uU4SEfYSbD0/5+sFZxlBfvXBSAmCktjOyuwuEkD
W+0/LhWinOBhvj08RTWSCqRPVftAesTwEvZtf9HH4QHYgXKX6y1xJyHH78jmAD4n3W+ylkMMHiep
+/eakcoeAljn0dRILPXMKYQBwzNKI3k7miqHdaZTbuKhRI+fpd9kEXwMXWOuh9lRvCqmHjILg7w4
Z/AfqC5Ze1WiedYLI3svbBPUoDb1EEOS5ApC4y4pCBlLBcMz8HjDkx6bqkdcrQ9vy0E5Q40FL8d5
Ac3LIGrABEj05OiZijJsVYrp1Uhtjem2RHU2Vfdk6IReSHAh7ODWuStHNNpd11b3RmYoHvBQfOXw
7FZ23cpd5MNzbSEdPWuApXaN5qc/jl/mNz1GtA/bZI9uT0370bFNeIg7jaYenQxaFpPtHnsGoOAx
Sb5iBcRGvGEHneDYyc5TK9u5GcRIKJ42dwUD86od3/QsjmAOOpLJY4WE7rWgYUYYVg5ovQOSalaM
jU/IS2JiAa3EfrKVtCF2gOvS1W1uthV5F9QKvx/y/70S/iup9u/pXgSN/7la+7S4Zrr6P14Ky5f9
cSk4xt8QfKnohQ3e9GWv9/dLwdH+xsaQapaSC9g+E8//s2tkoeionFYBewS1GCf/3y8F/W+2Tq/N
f5Fsc0fHfP5P4ux/JdbWfpmef7kVYLRRZgion6Cil63nPym+JL1zqaiJs4vrKNtNoUo1FTGmaTHF
YuTRAlcG40Nix/kWLyjSv3AeH7OGtCvmc891gEtPqYivDPxsPFoIJO6a3rgVjFkxOPHmi8Ggkx8L
qCxZw9AkrP0nZK/ZqU2UfVP7Dn4OuzumSXOnUOTSWI7hh1QS5BRECbpanwK/RWW6Ii2NErUxkYCB
yDI2ihVRPpUSwTEubBuhV0s+4TCBZYsNpKWymlSXBdGCHfZxSZeJtVNyEKw7p6ENTrssfMEi/Z3M
Sm6tg1aHizRG8Ruhrh+Do6k79g3nGNEYhnRUjgOqGsB/RrMGZPmjKnm2Nrq8Oo9yMFeN4md3MWFs
JyeBnNox28L4nmCkk6M714Nw+ypC5xlGL/0Ym6u4LaFf/7L7m2ags8VyrAp8vTGaAezJaEdqLRNE
w8DPQLqVlXfqEH8NgOHgsPq+q4foMpBCDM2S1PEG3YvEs8bP+y36ysBFCBPc91hMWn1Q7gF5pLd9
aipbklH9fF0avnorBwtOiQHjLl2wgL3qikXrgWReZZaZ1Im+StJQzXeYPadbXyN/oMWX31J3gK7r
lNTUdmkZBsoeqFh6RELSxnDrNeyDxtgkPiA6H1JOSDYZAXZNt7jx/HrfVGYTsoKJ+kPVykpbkW9b
mZSMEzspjAC978ZNmRoEjBjqp8mM54mJSE6OjtPQ1xvWrxw6y1oH1/fkXFsrSRjVVmjIacUsiWeS
V4ZJMcPTl7Yx6xMLINKjBG7FiLx237iEQZ6JdTtwLdctQ2U2e8wZnLy/oPJrxO2UtKRqO2xTCPAz
rBQ8kiFYhzm1GIa7mHV5uMP61VWsQFQoqalN6tiaeZR25s3Jf1gGZEcskkHgtcT8lNuelTG/c9Zr
B57WylkNogaQYA7ObdMHexpx2mQ58KDJxMPYla17W1dXKJkCz9DPtmq8pI11HZdmF/u25jZRvQtb
1h6yVk8pXEGK+uKu1/sPvzTuOyYEEwPeM0OAncySUzZ0FY5gf60nxd4MT2bWl7gVHcxJQBBbQnhd
Qxvkus2mbB+oiX4lpFH55uOMFh5iUg/8qI0wB4z2rapW5aYYxlXGFbVhz48doMa6Ot9mLdkXROjB
3ixfMkWLbxtV3ZcmFApEAvDFQyR2dK3mukiULwPl8L1DMtvKVJqrTSRDQ81LUVIHfBjsYJdKPOOY
IB8AhIXbBBkq7kE92BGRjsrAzFhqTKx8RFY07jSTTEgdoLwjJY7Z+2/HnGCEWce52JeEVue2mpMB
oq8tA8mXC7u3gCaQFyc1is03ZwrutTSL8Ppr3XYgR48jE2+IEbTXQifOsGNx9Tkbc+PVcE1xgDc3
mhaPkLDsfZin/r6X1j1X3ymIwfjpQBMOSWRvWnb3gMfICJ0ADlZOvc1Ku9tiwPlCbYE0wJy+g8S/
QMorXBh85sZo7AcYmOJ7aO3kg13Dz19ep+sf1/pfvTmoAP+hCLSJbzQxeKDUW5RgsKSXf/4XZUle
jr3SR8LZKQHC8zCLtRW58blYg+uUl5CpQ+QqgMhKT8LxOqnFGL2AbseHN/Y9lU0G3Z57sjU5dSZM
pWtMdIHjBWNSEy/HvE/HIp8Ql4rIeXoq6lx89pPPeRb1gBrBKheLdZrNkDemoqsX3W7dHxJBsMM2
DEylZn4ouSzy0j/2U9z3G/l7myi/N0v1e8s0y4UzkkTI/q2dLG3HuUSWXC+O2E4FWWyHSXzXxspk
IYhVrT39MtfUYAaf7FdJGGkDcIRmd5P6tMuOqm+6ZXKkx/2NyrD/KNX8qIEEPOpsXL1YyyBLa4x5
MrhgRN858L06/W7O2EHGXGc36LnktkIjgwOphbtcRM06G/2tnufaYXFifgu7yB/J9y28Sg9TPqtN
lYGySFAdbOOeYGXXhC2ybcAxR2tTjWnTHcPmFjJKESeMbBnTHTEAZ24ak18ZyhElm2MiZKiUbO04
Qf4UVs58JcnaWJHcxDC9jo+k1RnXjliLcWUzN3zlUmhYJ1jzBo9WwapiZlCJFiC+9GVnfwUtlSls
z1t4V9rBVKMc4HAWixO7B6CoToQVsa1bUn7ZnszRTWZr5hGqI5tosK9b5vMGobK9shVK2l7BqfqM
nYPgEzAXp3Vkao8+m9urt3vt4stOvY1Q8rJjFh9G6osdoaqZ1yD6Dxji1dc0pAyOpLZNs2JCKyAO
vHaEpHRKf7SDyl6bY115Q9jULrzFCDADtvPppmzlC9zd0eMn95wGPP9Gggi3CJzJU1h7rrRSPGRO
W7gJkg9AD0yJcHg7o/6FfGrYmJXyyT4SZwbTHHSd7UG3oKCJGJyBODaZ/+yjVbRJdi/64SMSzFcK
B1wKpLyp6+RmnDvEG6M4J5X+XRiBc0o6tnOC+cTGHhV7V4j2XdpNcwht0buNmYRfk+MMrP3tBh+o
Nu2bRs6ruIzsVZYl9rbvm0+KReCKUv/qDZAoCycE8VRgrzMRRZiBlNc5zIItIlxxJrL1hM93Yg/U
aV6eQy7AyVZs9Lb0SaMBYdkTEuCaZcciBIE8co4D3LnYaxEuUCVsirJpT3Mp6vUE0mBrGZgUslEj
7MAfT6kQ0V4D53qjiMmk+GCiSu6huIUi3VwReXm600dkryw7WciUKPdZZh4Q4mm4VLHEfoMJ6j2t
E+VP0geI1Ih82hBHX6wxXGsrPSOoVotksMZeH2/x5xDxkHba9DpKq29W5jhpMGY6xv99je4UZVz7
RHwHkT95FMc/oc8eaJX5QejGRCpicdbGptwqS2imVyA4OfrLG10vr3Xy+3CXv4+4+fug61YakNL2
+9D3v48+EUQUAAihKAbG38IAFQpFgrnUC+FSOfxvt/XfylbAtkoxy8TkX3Rb0VzU79k/dVt/ftmf
3Zb+N+wRjObtP+Fgf8xfaLWYfdi6sbx4Om8f2s2/z18MvoJABv7SVYmTgxfx7/MXsGG8ldKBSST4
WvN/1Gr9+vb+2mlJA/mTA0QHEwcGUvFP85cRrDANDhuNvMc/LpO8BIxVZaD+xFmvG2cPVeGV9cmI
Lb/71tj2LAkw+h8fsP/UVur8h45v+T40NjDSojFlEvFPXiTdCQhJBuW5A2We7lriIg092RRcCd1N
GB4NKF/m1c+icxcxeABGzX0c+CdAqi3WCf2hqyxSGOE3PM3RWeet1OOxRA/ICNuHzTSY1rHEo7oa
OK5I6m+njuvbB5clS7aUavdIxMzNJAcWxbkXZ811TDDhJf5B00v0kSYQkOzZyIILgc9Iu2Ty0EU6
2nTiRrEYFGvV6hYbaT+SwB3UpArxB62hwU7GqoheGPQ86BMJ8f60iwP9ilSAtgEl4oofbKPr7Qty
LhAwjLA3eJ1WiAhuINAwjQ8Dd9IQjhe8ATqv1DNN6B0rtnve+EMTwOrQrUMeYsRNFk9+dT+O8tWG
GQPkMjkzeAMdH4AnR4xn73QZPTtFdkZJeTBH+U3K8M5W35RGfVwK2KC1TrWs7xgLbTWWhGJU1gPA
pZVm8W2YjuZOHb3AlH4w/PqKKt3cdbMOOSgxf9ga+HvuSqQKMxh4RLTVerTmYyuGk4J6Z20FzIUH
sEY6q6wsDfa1etfgn2ZoiTPKGO4ruBVCZR0y8Mw86LSYaT55oMxBr7Ou1R8z265WqgJKprmv8vGn
z+z92Kivc2OsplJFUTmUL8EQbTDfHLVKlzgikP/7aCQs5/E3g1tumGrSxgkrI86q9ya1PweK/+KX
BJqb+l1Nx4V6pntECErL8FVkZHuqPQBmyCXs79fFOGMmaKXu1RqcGT9dO2P7FuvkKzCcWKkj6nw+
mlVoPkZgOohdzr+44Jmdh9m6aPDaaKriZXH7qbaM433VZ9I/HVoT7w/6VQkuPM7Eg5E9W3U9X+Bt
Js/9nB2bxLj1KXa39jQ4K4Izhz3uV0zPydHC5WVW+a4Nkxez878TpSAa/lLKx8bIZqy6yhKbrSL3
tVgkDvOexc2zIfJh0SquSUa4zr5105PvBPp4A2cMeRTM2fIEfdVt6hBcsDEVNwY6sg5l4bozw2vL
tt4jZ2OHIQwJBRoKlrDISe3w2gfihp0u2sF9k+u5K82SaDbnGkUdgi1/fC5njNmJ+cFC3ouHPF0l
iqhPlSMWsRJpz5Gpe9PIWMOOPmRqb6rkagiVRZ+4Jc9kLQpjkxJuAcho12sp3TJKmHk2n5XId5Gw
bfloWGs11LK9Th7GqhekLvm9eSYU/hBq1IXa/AjSVK4rUKIRfiUXAIhnztIFOwL7BKyr1mw1bXTz
2baOfQ4Ytgo/zd64Cj9ejpN2IdNuoLCTF2K992PivDHdBYYqv4pE7ONqvsV4BERfK7JNkuZYDNVh
MZPGm8ICDspM5W7JF0I8qV4C5rFeLq61SQJqo/KTp1kMVGUPBvWURflABrs+uDQkdGzIxRVTXmXt
32ZpXK0mxHWRnW/7EKp7JEOx4qb5KHA8sWB6It2es9IA9IuTTcoGE5NPQUx6/Yjc+OLn7Ws3ZeWi
MA4hpdpPzKnuYZ8F6PdPo9UeYXavAKs/qIpzmfXqtU3hagFFYV95o07dazUlz8lkZdu25P8Deeak
oCzoWfsSPXk3GcqdY/PjyUSF9J+A6A6IWJcAnKmMghmLVcc7yx72g2rvNOJE5rr80ZNsi+7m3YZj
hkzJ3+dlqJ2g16Liq2Daisr+ZmfyNC5E7iIxvGqYNrhWSjc08AQR9kY2ich39uy8ax08vWoB6jns
xVMzBJkfK49aod+MzdR4nLBzO4nnysk/JsuqPCODIKVmzXtM+hq+OIhY7fDaO/41V2iBB/tG7dvz
rKnsAWKLzqhOTgy29nNgfFeBIldqHaRrETU3GPp2jMROST9s6sREu4EHFR4xqj64MDbhPuSrkM2A
GCc5cvT2rQDQ1BnKFQ0PQhGghQjtlJOhQi6PguirLsotHeYdtWvDjzm4bVDjVhafh9rmJ5l4tWmd
OkffF7NxGAgqSOuDGbZuYtnRDtDySp38gylfOz15JIkF+1C9JZgISFjuVgWXkFogEA39LTqLdVm8
hU1Oc2U997XYj6mzblPjiN5/N/QlQIR8LRyKdNs292oExSiJWyAz95VPhl1r7KboTLTp85SFzL3S
ncMn3U7FCzFZF+YRu2RmgWM526j1WeE0/g4y+YyTpH4w/RZOa/erlEwOZv1MjulagnpetM5kl+2G
tLsR1s04EwdvZBHDyvpWmfUTe5BNX44mmXMceUVaVzmG3+V0DHrLAyN9CcefrJ/PqjQ3cTwDMNJ/
Wr+oPL2L16iNj9Rv6BaiH5QcX2FgXHSzPetmvVvkveo0eCqVOoMt58WOR9iIP60ULsL162IvbmR9
ltXIISxeOCJP5AscrPStt5PXuM8B58drdAw3ndpdyDVz9UJyvfjhCf/1M4Kz2xosjzWM5w7r+VRm
l0pmb1mgpOtJMT4cq8Imo6GfmE4WiytcGjqjIoHWlfR40b13c/cSxo7HaGqXiPhzrvMPNrHHUDnZ
5FrmI1sjCfPdDEuUEDRNKT4TfDhDdK9lB51LgeU4EviSxHXwhq7RdmgKs+2gn+bYRryQXlQn+qY/
9nT6EAQhvJ9FuwWdlvYpo/NEPRWB5bMiqm4CI7nFhOMOs3nXZT1ZM8xcsvY1POXpjdY8xkay1itl
UzbxuYwbZiSw+/U+erIiS64Yp3jAjNwhvlrzOu+sLRHsuyJrvgyHJOso2Y0VP0AS2I0M2ZxJ2JYD
fTBocEmO8dq0zKd6rD+cqvO9Fsn+CoDzk6yUxiXLYHbHOHtEa2PcMosVLgA/5MCqSmFTFNEWnZ87
KDX8v9RNWsjtuSGvzGNeg3hiQNM9N326VYjAIVivfqqTEnjhMhlHk7RMTTWCkciVNeeHvtUWrcAq
wR9PXs1dVeaZ6zfbSUjP6hF+BKd+kI47hOON4/BRJ63BGX5SDAhddNtWzmHInCtYz0vcHND9rIFe
uePdOIebotmEZn4hkAWWvVaPaxD7vB+QzdXuruMpWqZXq3jYzs5jYGnPtLp38DW5D+xtFDwkUbJt
dbnrIuM6ExZW1t3NqGa3vbhmOh8gVIFz9Kao4B8qOABFx0KPrQMcFXPQbhhIB9jcx8PoNMIdKvPH
Yb7D2ZyK4LDYFuO6QJxKI1FWSJduIjEFq9R+MPFa2kb7HuHbVFV2o+Cz4PhSP3SK9Zy0erGaqqdq
4f8zD+u0o4M6BvAhCxVK0hEzTJWZ9yJ76KUXFBi/3O53XI2MFKRxlj0GKBHcHD/UwbGQpVi8yLXa
zAfLz5NTyTr0U5FYLnI04HvfR5jLNe20L3JICnp0oJhzRBQR8a/TT9629tWJVfvEpqH/6lGaegjs
1a2UyMFAaPq963e2q9lyBAQh2QXkaXhr65l5VKuAMSuXfbZDj5k8kfVge6nInLu51/lJKm34llEN
79Ko9LG0KFJ4LWzkQ0yMXuey4oKtooNXHtNoL6wp2Fm1oX7zR9qfVjrPH1jA1F0mp3brq7EgBaqG
pUa018UOp/qg5nF2VBWrvqffoz6mMIPXX+fNbZUl+oPNd+wqDn7OKQ4H1jpNeSx6I9h3wDY3FlOU
az4r49qfhL0PMCUkq6xPnW1XlNWJ3K/A461BECWdea84ZXPScss/pHXXHJzOIiwDWTtc3drh516Y
5anFSOjm2nQqsLFQz0wqIdP4cp/UWp0+yyKvjjEm5k2AJ+xijHPxOupQ4EC3V3jZdM6PjdHnw47N
7gWipoQh1ocx4NdWPkgnDu8cXZ1um8Epz2Ko5V1vQJytCydEHvDUI7bDBFdvnbkd7/xCGI+KYbC9
z6NJe5W2MmxGJEtrYx7T27q3uvMQzdbNxIP5FsrI2mVFZyP4H9H113N+7dKhvUrRNpe0E/E+IzOH
HhKFgRMs4vnC7jZItYItc8l2hV7dXCU9cDLd1wTGxDjbOiEKsGxpsPNkAukbBr7GgI8NnEBy+6x3
DIZGrqe3GKTeucS9sjNASh+VmYmZOefMjtLoWiBKDTs3joD19W06XTRt4iUts6m/J1zKnQBRNVO2
Jc6ANMBq/pRprNDxNuTmlH7/4Cvmo53PF7NKXs0o3Rky24eFBtG5S7n2o51ijkfiyryoBNGI7MxV
VDtYG4qD7pL3V7VeUPbtGYCrbieMLxNhuI5VxqgTDzWf2wfJpiWLPKdy42Ew5EjuGaP/sx0Y6jb3
6+dRKx5Q1O4j2JCp0a3JinHDWOc77rZ9ctbU+kkIlmiQfl/QThL7EJCNUmfmQ2/0j74iLuVksqLk
JorC5GYa8biRZ2dHQb8vBTGBUtHSXZbDhIJjeZnsbrV4ZVyCwD2nCk9VNDTkA1CUsxRYdZqBub0l
KkrR1qXHNhAe7AptKzxMonAcewMG+6fMm8e/zIf+L/sO3fxHCoNtwHJi+S7pNaVhC2J1/3HfYRLt
E7fSHHZm+kybHx3nsRsv4wAxBJj2dFDNZYdbBPMt91N4N0SmfBBxE19qWN0D6+a8f7ET8MfIzZen
Zjk1+Cqcs1xOUricqWQ5XdVyzsTviVvOXjEHyf2g5wxQmOieuuWM2stpnZZzmy4n2P89zGOgNwdS
5jFh+pz1aTn19nL+a4eUoyybqxOuemc7wPNF7ka60z72iVTIRe1fkQ4gP1zuFrHcMvNy3wQ+N48K
phba4aA/kMnOvSQa6vMgDNt7NS6ae7VoMrgTZn0oURhfgpluzFluOm3haPjL7Wcu9yA5x/anEhTi
W1tuyXpqoz2qPCAHVeglv5cp2kRIh1GgednvZUtW+7CbEjt8y0vqDAjEzp0RJzBPwbI+9XpIwzAM
XN9qOICxnIbw1nAK8ek7uJ2zivShMuaR/30Eii7Byru8DPh8+i9/eS2K5d2II4cV/PKWYJXFaLa8
L2J5aZTfR4ffZrHHvON41fIm2cvr1CzvlG+l4eLWuimWNyxcXjPBswbLi5mxPTfzF0PC4xIxUCOw
Fc3TsIyY7d9p8xSl2vMklxl0toyjB2cMODUEeG7KgAFUwmfT68weuUFGAadFDsPsMSfsc8khATnr
aaUWnsueT56eVpuSpm1nKuECwWSl/G5ksit2BdkfNDdFKzaNVK16HbW/f6JO1BxMNqJLeKcVa6Hv
5mEI/7dIr0Uem1jANO2YxVwSW7jg9KusAakUslbJ8T0Cbv/Q1fK211PHX6NJldUm9HXqEroFtyNg
k4FXhr84JhsSHWw5en0FJJ5uczcoxmu9xEB2ak8nMVNXznx8JwQUPDajByDzATT1Q9qGmacMREUj
qMjOg5q3nk3D/k0T86zYqjzpneN4TWk89hGlZ48pxFOJrOOGDSFKVEF6Zw+mcmPDTPZ46AG+q0n0
YKloxU2AwoeFDRaJ+MGuovAYV06yyy3K7C5TD4EucE31IMU25gieiLFcsu5hlUcYa3e2iH7A6yYs
v+aQqjjpPE1MNzX1BzoN/vWBD4YbW/2L7ERxyMFobHJzBKpcF9qWaMwaACh0z2Y2tnZYYB3LB2yh
aiU3DFMZq6j1OyEQt9SFxFObY7Wi+ngsi/Gp0LL8fiDz8KLZabg1uq4nFatLihtczbjLElCf7TSR
Ba8IsUXaVm7IT5+R5PfNptc4awTZGiuA1HRgZN6Rqti8DXlvEVmfRC/RnOPYguKeybLeQo5vt5mj
AzchSpePVcRCPWN7WYuGlLgSfMDko7hWS+aLxA4ZvI5ORmlRqrTzVwQzmA90KiYQdCSf2n6BlYtM
bGeia/WXfqBx+ge+Tu4DXaY8u1CKHnGL5seiha6slQ6yYJ7dU+FbX6JssodEQ4drIwrcKRlW4D79
iXXzIcxM4Y4Cu7GmBMa5LNCZs3nWaGzCrwZGKWIfFBNJ1WQQ4nLBqj/6mCbtZUgJGYtP0MH4RGiR
Cwb4Ogtws0TL/pjNfDeJwqQU7uBFp22qY/G2NI+mIzg3tdav8bWB2VAX5XzOgqoojPq+Z1f+iM+8
oXsVnwiVdFbf8aNVpztRc3Epuj3QGSMfJM4pvAks/ThZA/pGnfM11jwSBPtGawbS596XLD07q6hQ
zfTFPiTya0dQ7fwSI9VbT4E+beaRtddqRC4yu3Hbz2/4WrO17hihC0dWcQ0kvxcLHfQ7akF9Txac
egz/jb0zWbIT2bbtr7wfIM2pobvrKnbUUkgdLFSBU+MUDnz9HSj17ISUeZU3+8csTdmQInYBuC9f
a84xdZge885pb6PK7+5ALJR3bmSMnyLWn7NpNT7OTCqqYamtmqXKspd6S3+vvJYazDI6/4hNkwSK
79UZK67zHCwl2+Jh2Pd84/8dY/0fx1j0xNDk/WaMdX2NX/NfA3D+FBvycz/mWITZIMlbQBG+BbfH
QwD4Y5S15N8smCXLFqHri7ejLO8PiPwoe4HaLcLhRWr4/0dZ7h8EiHth4Fm25/Ir/X+lGgwXVeDb
WRaAjYVNEmDyofXk/woTmoOW1tyUFsdJ2hN21VdoYyF2ZVVcE6jiF5lTCRPh9lzVGcOarDf2DR37
19Fx/ZuUqTFPQLBPXa9cHLF3aI6JcSyD59gpwk2uQtxr/RL8STbpWmfOcD8olzhSrFUbXff5Y5ug
1Ad9oOiDO/R+0K213s3U4hgLXAkyImXBG6L73hjhoRVsNBmqNjuNnjElBzuF8AAikXuhfeO9EqiW
UxSzN1UWq04QzjcoVIp1h/AO1PKEe4YGSm8EGnMF0ikrDUCEBzz+7IH2pilqpMmmv4HHbWyqUN8D
ucIvjx2WRFldF5eCkMmptR5k4Z4rVcfkidKeraxveOPHk5FES58MRuPeStSj5Lu9rUjS2A2zUe9H
Xz5jQkEmpS89Vp9N2NX2JZ34yJKsWty9+8aIyMvj9Gi7gFkDURV7SbRVbU3zNXqHZV+u2gbZQNL0
J8dM8isn5HeYrzd50+PM30xNgZWTnPdvHVGgm9AjO4xZE5acVTmlTw3H/KQuLIDSNKyHmgKB0mJD
LOTBmPp7w3IHGkPt+EyIhnu0fVz7tIM3Mqu2xCXy1fhNzDkvTh7LQj0ki0rNXXYykul244hyM63I
+3aJ78P1hegLM2BNkq6R7oOOYMqcWe+RmddEnlr1QFIaujfT5kiTFsn0KHI0M7TicWp0ZO7djt5N
WLjPtkgBwqVeeacV8T3dgDZLIP2jpYjg4H2cT9c8xWDW9aOzTzXEKtUeDYR0Yo7f61ir8yi3kztJ
LlV7Var7lpWPcGhQSEDdAdlU5+uJNIZthwloHNZiQM/ZhLaBW2wWqxpe1TSIS+aCypl8UkODgMCI
aRmi0RR+Z+UwGuqkMDaEy/Pa6bERBq7tWjxbpPmsg4l05hE4AbF5SUknMdDmvkGEBU3h1YkMjjFm
+C1PwxsboSwQH1owzZ1NqMVQpujrrAc1J+aHQQl+RmKSdPoweAy9knS5iOgTa+LIaRfKuJ0T270z
9Yx8PzSTfWkH7ucafe25U5mElY4R7C5v7PpkR+10Th0VvLoK40/Yl/HZMEMMq6bqj3ka5e9TghaG
NRNIeUmsRByTNFYkX6v4qfVJL+dWhexLouwHiOMV2UK6uks8ezj6fpl/zKbIf5wdclhykWXIU0rE
RV4VnrHNezvT0xjLTGALvTGPNxzwi6e5k+MTLvT+lIq6eC7w+u6aAVToStWheu0IgSYQIRmujg7d
G1T19SUbAn1P/9++Es7TnzqhzA9mmvdbP65GokOIVWnwfB4VGI/bWVXJV9sZaXO3hB1+qYsMqBFH
h/Bmxs97A9JAX9wo78j4g+K7rgaEkkEwigf8uM3VpCdxKbIqeZ64WEzdXHXhVvEvtqEJFaCxC+5S
ScpvMH17k/jhK7ywmM4wetv0u/T2zS7zd4dhgcrhzaq9iP9Ci/Y6u0CAqsH/Dsl9I/7LMuaSdjsj
OY3j/Fo7qhqOaTu01wap2qaPBEmkaOlgtGKSNnU2462EiOOOBkLUrn/2htbY5fbU8BSkS0kJmnrj
xlLsOGy1zIVk/KGLerSysordO68U6blDjUYkprOSi0Ct9kyc4lGQ30xxzoVqkmeXRJWVAtp7aMcB
BobZInCb3Cel6Er0vQY+0MdButFTHz3VWlvGntQSqqfWnxui5kt+8crSCYMpz6+nfTknUY8UMRrG
vSjiJN0OkVN9MAhOBhy+aPDc2SyfbT8JPrRWfGrzbt7BtHvofWNfSoLBJsbkYPvdddP55UaKHHBx
geDJjhm4LKq/vrcxjnQX9D+gfPxgXVfE/Axk2hi5RPBd4oLPTOZjttHPa1+nmM9g8XN8GM6Rqi4+
aMSF7cEkpY13wBIsxEpq2hbAblfNolNMBlefykEjc49JpuGcQ4jokvXK8DYn1gV9Yz1D3Kt7kB79
rP09qTjcSrPPXTXj1b/o2qXPRuDxhcyF8KYnBes5AVFxicGbXCE1iofK9MRdktn0zkI5dGeu9Xgp
a0/eINwKb/ARcb8HKOy++DGaFQTJdvK1yKtyPRL/vFPLkwJDxEOOx9NjLc9RvzxROYzFUxKN9jUz
yvG+bmRzcUTJ/py0w7XWbJVEf7avzYQjYNWHTrvLlic4XJ5lsTzVkZ+VT8PypLsmuw+DOr1rlnVA
LivCNNM6qB1Qq9ipl/ugCR6ZeuYfmWcPx3lZV+ZlhXGWtcZdVp1uWX/mZSWSy5pEGqc4ZpwKL+SP
sWSNnSoW5lV/TLMiPNadjs/AtxNOpl7wmubWdK4jXMPEPPl3QKlYGEP+9ZkCxPsMsDTZI+rvGItJ
745/bdz2DdZykxb6VkrPF4g5pmXeGakADQqOQW4PrB/tbgldhpTp+qne+eRHpRsmr16xBoeoYKw4
STFcS1Bua+E2LogvP2xxjIb0hpnnhFF6Kuc2rt8T7aGQO7hZ3UGJt7PuQK7JEF8sMlFGIoilg/ep
C0jGthF6aB47ifhCxIBECJFIpngTTmNDu2l2Qb2MrjuLtXK8YkmvSKt90HT2rW0M1k0Qj1i8DCRD
eWijhk4d86GdlQuwYI4KsQd9gGkccj1Jb1EKeYtMq+gTdIJGb4IwR+IPUS0xtn1B0DXZ6ks71GfZ
fEHRS4bdnJQmawvhsSG3GJLPi7I76yHrGr6XsrnHz0nISZoyJGynet1ZJZycQOxSv3vuhovH5Hwb
R4LYqLC+cWQikPoa0ZoaNcHRgGgB6RCZwtG0wFjikTTyWq8QfukVcXcf6yzUuynVn83SbtaBsrFR
TNZdJBpNgC/PqNeqT9L/hLogPE1WJFlvyJAZOrYBu2ocwvfwxyYVDS3zIWUoscE1jZBBR4ek8L11
XCixJWvIP3feSM5bFRVrKe1TFJDKnPXseZKccPhBwB7m+jNgOGO5Rox7phpVdaLv2M6fZ7OW31xH
J8e2p/el82o+p1mnV6Ouuncm3OxNajbTN4543INk4tU20pLvqt3vCt7/nvP+7+c8B+nc/y5XXC8p
pzJ+VckvikVOX8tP/jCNYg0NgFE6f0k69b0/4NRaC54Le6j9xh5miz/wAQnyTB2OYX/GfPw46PFX
OMmouzwwKqzfIKT/hT3sL1hfwaOyaItD3gWkm1/PedAZfGK404mmogK311T+S+Ob8U3AVB31e6jG
D50hPkWZqb7yxJQf8XkyRxmSpN86Lcwcf6jU1mcHelHmQOZXgcPfDGT+xYX79v6/N+P/5Wa0ReD+
1qb4KLNM/qSb/fEjf96CQUDfgKO84+IrdP40Iv7ZbOBv0KmCyDdNbsU3dyCuZZP8O25LgPauS8vj
P60G/w/ItpYIQPosTQg7+Fd34M8DHHThqHMBpC53tAM9311q2jc1a2TjQdOlZR2cITFOeOnwJ1by
xoms+uSP2l8lwJk3DtSqLUDN8VnqLD6VJmichsYx6hnkn2jKg89p0ppkeNb+Q1n047GiKXtT+Byy
3jzjf1Nl/2yw+ev7/UVd6xqAX2QwmYdQ5kxCHIZGtUWmFCaRjajBglokFnJGFdH+9y8MOPin8v6v
L/2LlbP2nAVMZE8HGVOcz6Dxr1nW0Ktoxmqb9ka1mUMQCL1JsZBZ7i06ILojTYiDhFH+Oq1B2Exz
iQrR0MWqCht/5avk1gqtnt4u355nj7e5HcU3UddPa+ljrgC9IA7tLB/qId2qXD5nqaBT0zUGDdM6
D4aXTJKUTI9BN3dVUgBe6Ir+cbBFfMlaH/1/zkk7rxHIFKGobtw+lDeqnPWHpNdQQo26Qt+QW9uJ
UdhOQaoQ5edp4HSZMwY2uqU4DpNhE2tTPIOqHY8+MsJ9bufBKhpjSW3Qf04V6Dfi4qz+pZau2BMV
TMhbVaINIFd8i/Cy2ldW+ux60W0/0b9Ja5yKegM048Vpy/DcYT49kb34vp05frhhfVaTIzZT4lmX
FNQqakm5qmkNb4IJXpzbQ67Tdb4aAv+1Qw21QYdSrqwwPdlDZKysYbqlp+Pu2ibrqJkje20kdneq
h5EQjR6wbpTLa0Wg2W5U4qDi6il3xlM0k3eH4pkeDJWNETNsbU6eGbkEWopml2YO57e4aIlURiRT
pYGztXSNnI+Irw3eENxHKUrYlnRH2Cqe+KhjFW8RuNJ8Y+Y+UabIe4207cRTs5JGf6ZSYrqMrgC/
1Pi0WMfuxwLB6Ig5c1V7PQGnuj6IxHgyy1FvQZmimA25Jthuk9uwJ7VjsG0iFRNn62apuWVYEEFD
88S+k0l0dJw6WIOfTLYNw1Hm7QAFwh69wIBG4ckYsVhm8dbgZL0GG3qcbQVEKpE5ojruZnBixo6Y
p2rVByGFXNZPZx2jPRxlJ/ckxH9y/JK0P4LM6Jvi0IKfmwRPQoSbljPlymLyAdjAQbGVoYa3O73G
tOOvS58Mt9xCs5T39YY6e9UPHE9druaqcKK95+JJbXH32hOKQLfON3aOuM0gaG8d5elmLBvmh36A
fSXXD2YpxJkxB4+aHjU1oe5XVd3554ne6GNqE3SHJHI/aucxq1z6U7iE1gVG7FUGFc0LUJVNiW9t
uqrvmNpwRp8Ma29otXctw9g6XvxAuy1YuUV4xkB6bIrgQQYkBzXT+AT87uwCp+y6BJKgiZTK5VAP
lnNEvZ83tz6j4bWPpilJ6uDZIuUPoQsKHtG/ZqC4FrYuAh3mK0X51Bpqa43hrkmKz4DYth3slE3u
Y2JqrJZZpO1cYd0me5OyVKbNvdQhsdHm7ejHpxRw5Q1WMwM43jT5oGC9ktmWXbWfTMt0+d5L8YhU
dNdaufWASp4wGKnpd5Er+RnEFdyfUnmccUY7fE04ZC9DSgmltXW5VKEzrTWHcoZUdb7DIY5lKOFo
MdLXOKhalkeLQdSqJspno4rMvQ8i5jQQgOabVDT9ITfiBKMejqfMEc+FpNZn9cNxJ3T/pEJGvHPn
GCs7NsReJ2Z7IL4HbYkufYFGchRo43r10ERFf6d7uz7IisZvpGka5ylE0WG2yX/Mlbh44L5qROjK
omvuetkT0dDdKYs69ofMeddPc7JVtc+gEu/eCt073BiLMDSrCfq1CCLI0Q7TPkuhKwDLOYO0bOUx
9scclZMSeyOGFOdjomaxa92XojRoDM6sd6AxijlIDyWz4Y3le/NBadJkDLP6xtn+wKG726OksNbG
sMBHQ/nBNpSzBc5z70uk5WZCJunYjqSzD8nAtDI1j7S9yyuHv4d/2McYbbzpUn3fxgLPZN93YR+I
8FeLKpNtnZbtjCFwAES3Fo5lrO0e/0iQ+/7GUIQ4kSKdPXZz3R0ykEjXaHm6kiEUZ5FGzTnUHXTV
tnrxZKruM1pDyPcUK19sluXV9ecI+aYAzTHkMYiPbkFSj5xm54mFoRQnBWnyAEbzW+n5JAJ0tBIK
VUDK5HGLu/z195/3ZyzLXz/usqu/KXBSJ8+tKnPNg4FA96FVo406PsBBGsBW/v1LMU766zfr050X
/EHW5fL3b17KBPJXdNloHmTvf+t8lEOT63xkvllulFu//P7FlkHUb1+NEvXtq2ESKIaxSq2DK4e7
uXft93aR0GLR8RdTqmbdeFl31wOaOQXEdh46YyQqJKtdWOFxB9i6P6RcSaLmuz2dg3GXtn136iMe
+Hjsi42UXEIa7IKOaeqSi1qVdyJNEEJlalzno8lvqxgDtbZxGZeNulm2bIe9+/ef8++uX+BaWMds
E3OZ/4vCyDScxDSy1jxUYXXP3MY7FIxzeqRj//BC5vKb/jN0+/NOeftKv5TCxKyRTmrF9gE6lXtw
ovCrObcD2dlwoDEGffKsMqB74zAvXyqF2sfk+/vPulyyX94BFb+5TBCBFvHk/XxJ6X97wmAfOQCb
i9eZF0HYQNdD6eYZdxJFB5b9Js/+4bb9uw/+08v+UlNjkGJxq7R9IJOAZUC5X/zMZGdW6BKkEsap
nMZrZLSYhpcqx9cQhn7/wf/2LXCRwbSYAQfucCn73zw6uTCxkZLwe7BljuGYLVG67Q2T2Ggdda6x
ymvvllYU9SaiE1b9Zvf7N/A3jy4W2f+8/i+rRI+NDa0hDegu7z/arRyvXRnZp6Khp4ZJ4fL7V/t5
vPv9TuOTMuT1mUu7/P/nT5sQxq46tEgH18arxyRAr2Qbddvfv8rfPDk/vcovn4lIBRuiTOUcig6C
Hvp0PDXABruCjMl//0rLRxHIhTmt/mXhqxlXYVwShzlivKED833uhUee23/4RH97m7x9oV/WPM4f
fRflyuHprP2vUne3Kc2gPfztaCWhMz5CTsejgi09uW2WQtmqu/ofwubMv54DHUJNLB5R+kohZ/ef
r16UjLqhm2wfej+tD7NWw1NtOeZRytE+1PbIUB72BwES4DSHifItTpq134BC8QvSlH2ZbevKYHeg
uijPWVy8RwCd35nSepcqeDi/vzb2X282R5ihG8I0Wd6x+8ttYJhDFgGE4K2RCsjYpVqZicAmMOdk
OxjzzRh6uPl7cehb8JG4DmFk2UtE+phRvrtlvh0Ktg41lEfK1GiLhZbkK840LRb1FYeIb3Wt46No
Cko42zmbUE6xSvgcz6bAW9cG6c/1XFFb1VGzGvKvliQfaNJNsRZY0S5t2/5Z4vwXqfUPSC10Kx6L
wP/eMn16LWT+/66vX/q3LdMfP/ajWSX+AIgFvMQiSYGVmPbSfyB7lskd73lLd+unhqmJLTxE/It8
E00NiwAb14+GKR0uOPv8lIM53LURyfybdtXPjx4heKFNJ40/XF6N5eaXR08Bt+5p7qutjGta/8TW
ZEbzsXDABCm0KUaXnZx2nLmVMSS/+abu/tyF37JdYALyXP9nd/ZxGwjmgMuIl0hWPtEvi89ooGzT
KBO2JgLjQ9R58RorxIT7rR1XHRyS1Zyn2EtagDp9LeSlq0zxuUTZvg3rEfUmTKGW2J55Hq8weADU
zKN7LhX8EOUyqGgUUyOJU/3Glm2wYWJJblWEBHoCeUvQCCeXe4pwFy9IEcDLR65pJ3a4xmbNL/Tn
qqYppc1bpzIhGfVee4PLKgPywQm9cpnCLgR6AFN5a199Z6apIJp2QnUPXYiEQ+tiBa3x5M/OuPaC
KrzVdkxyrG87N3Emyr00jOk5lQ1ORT/KV5gKZjCGXr+3JuGewwz16kIIPs5LgB3zJWNx6/qJkR2g
SlkX38XnvVGG7PXRALFrn5sI3Ore8W1CK2UoVwpGNvlHyRR8DCIHc1iGpPfBDgnuWbcgRZJVZ/Ct
tXTgJhRDlw490EFnnJfviUsYYGRP4kPptC0RNa5RTmuB3wDQtaX1i47jJEOuqIvH0m7fI8l1mVtb
JFtY3TkonXMIm/cQp6o9DCoAN9oYH71ehDeid0YPJC2i07xve8wOWQq71EvtEfNvMWJ2q5uZi5Vh
fwxwm+UJgXQWkHv8DU1QXUrICcckH4uDPST6KbarlGEySh+p+nnXtoGxnXsud2tm4jWndbP1yrqN
SB4pxn2GX7Wgt3cJMxnvMtqPNzbJa5x/6Xe5cJpXvtEGBwwd6XbpQbt4wXvzMkmd1GvG3f5apTqq
dyQXc/lVMRNBUjucaBmUloYV7gbyCTZe17fvUV8G76F9iZs6RR4/xu45MBt71S73eRfLfN2I0Lmx
Udg/DYRcrJKi7zZUFS3WT1L36I9wtsBfzFGR89WTb815uHLBBz8GcRuamwFQn4kuJTTaZEMaj9mj
K5L6Yxr0trmrPUY1fMWibDZZC1t6m5jaJa9vnguUsNpyhh2dg/kalL79qXSi7kHYJaYVP+3y/VQG
E36AyP86x5bC+tuGz13XYvifkt74mEprvMi+cJ7sjJnOZqxGIAtOQvzTthwZoWyiwY30zjSMZk/5
RgyfJsgCHWnWxNWxy2L9qZ5G2aNUs2hJKlOZH4Ogncjhcac1zFJcveHspZ/aUeV3ukizDYD//KmV
lnsoqwYDuXQPQa6/zZ1Rrwo1amDptv0trvz6ixzb9DDFrrxBOp0c8QxkGxMjf8nXaQ9XL4QVKlxZ
81CPZveMhy38nEZ2dDQqb94YLrLWstUaNnlbuIdMNGmzkWbb3sxQz7eTXar3hGU227zX5lVUs/sa
zUO563Ulv1lE1281I4CH0hiCx0qH5msRz96diR1zHyVs2dMYtM9RmlT7fGjFpSM+G5+m27yrUtt+
ZsLlHBP8S6u6nroIMeKSy9H3md7XLeJ8qNf5iJgukqb6nONKjc+JrcBzFWkeOHiYZaVx5XTRi5qj
fZROyTe8bZ5/cCbRz1uT5vF8sLQx486XKanF8GyCKYHQG7pYAbCwqlGsY+LXsLWOE7BA08BrO6aD
fOVOG6dVGaH0XY9+KMXGQEOObA7X8jrJqijd+bUmDtG2+wKeceOHl66eitNsTyZqJydDhBggXjlG
TWB+dA03vOvVPCAn86P3rQ1yb5MaUMI35CJKYxtFA4/NII3oNfEARwPsCPU5Bsbxrk9LNMKRxZh8
09BbujebdEEM2rR7oliOryWUj2unktY6gcQOt4OBkEsbJc3BmC8GlBBISLpfX8lJGY4tBdVW+xaa
A9GDR10RBskY36NCe+Hmx4NYzMMYr/WUhfaeDhgcpn5BNqJ/GTy9LvwGLzNcVsJZ6TGbH0ZEIMza
k8zcFYyEQFP0TfcBd0PrbP2sdt4XTi1eGhzca9HM1mfZdwAwnJlE0m5WOwI72ls9euGX1p6rqyB6
Id3bbgcXzvRmQofyOar2UzwC8OCfyXPTNXO1jmvffoom1NUr7fDQA2jomgM9ft5Akc2AQIpkhtyn
TZCOhOSk1JhZm9U1a6bDegEJV+b7KiP6A/OO2xdry0ObvQsy+tb7wqsCjgDLvsMIuHrH1hPhLE2Z
WayrcaifkeDN50yl4Y5LVuLWDbqdw8Tk0tQRG14cMuYi76A7kUAF2ClPbKNbF1VR3jVR269dh8eh
NojfMzOo5C0BNsk2LHz7NgXmdjUdjrIx3LIL8jbNajon54K+5z7JeuzusMMBcDKWg2YZ1nbygNzP
BOIr5pakr0GL5UGHEj53ytrGIgy+pFPBfdtPMkR1koXtNzWJ4HaeM7taiw6CJH1dKqGw6pKXwhmc
DVrV7t7Iqr2NJOIu0SYWzkzH78zO/W6c8teREkg2IBOAxy4Ld534obq0SZzctn7LY2t5hvOck/ED
Zk5mPDNS4SoQGFM4RRCIgxx2QSk6rroJ5uQCxxu//sCG3DfEW4iqpoKwkiegI/o6zDU/nDgN/jg0
/Xc5qO+rM5pg7zShig9j14nV5HQI8iPICwx9VkOVP/QGVDGjms01NdlOirjcUMB+dgbDBYajbrMp
Fqtiibhw0prX4we93RAV0CDBsO0BdFjroq6TnVPbul1BWg3uyFsj4cFrycDaZBZ0ixXzEYASWRC8
sMuBHK24qaiDKISw2yfzdWprTNqBJMjJs1LPhp0oycLTA2/oaCUFEiCL7jbn+F59pdGMVcQJZPe5
DxI17YA3koU1qLo++IOFcJVQMsD1AQ7adVr4hAXlA4CvVWgWkT6W0kPyjK+Bai2D5PCIqaA5t1M3
L+5epw0o+Vz2w7qX/fvOba33uhE5IsuArKGlVPFWndczJuRA6IAmaYT3eYbPeu8QNfHOnCkp180g
s1Mc2MhXcHqETOlaUT03jLfGrakHnqcCbNpd09bzFf/NcFCl7zylRhQeBHDGWzv2ghfQgYpxkNnn
FXMVb6yP0SidjDft8U4GFvB6TZ4TJH2ynNTXMLNkguzagrpko9p7hMxLTh8Vu+WskUILF0hdpS69
ESbtduIUf0nSoqaVGvMycWqOw3JdHNbVlrykNQ54FjHJ8K+9qEbn+rYsHJTnKjaQgxFqOcxbJzYm
MkDEGJSbNDa56vU08wXhmZM5rrK6c3fulFiPA/hUg/6nH4ttOljWcAq9Zgh2pplRdFR5eOoHn6ln
UoiRCpje3MqcnOxURynazJBT0VM9a+BpifDe81Cnw8l0lH0uTOzxM4tOxpKe+c8TBtbyPMKlawjL
0g0t/zF0mWzKEMSjIMjiTAab8RoQxI6L2ZiRN/uCMmqrmVcgmObkMOw64RHvwjUJ1SmZouh9ng/p
Owizg7zMCbK6o4vK7phXqt8lqjG+CjONmISY9BcEu8pxGjVLcRUk6YutHQTwBD9177naKLvMGQfP
XNiMMVnMD1GbW+d5IcCGbtRdiirNJVFGFfRPPvoWkxCAxdFzRtx3bp5sQCxF7SqlPOo3RBm5T52w
Gkznvz+P/dIL4jgGWBn9jY9Cx4X+7iztrzctQ5Lauj6XTreNTJEfqy7+VMrykSHcix0Wj5ZbsrH6
zCYoMj+25Jbe//71f26r/PnynkAyQXUnaAgtf//m5bOotYpMG0Q7LOwtY67LC19+/g9N6e8n2p8O
nXzKhWlvE2PLf+Evh04sFwSYzE6/HWLgX/2AIXTtGzagQyeZg2GdDVgHGH0TmVOyPVkbSxPnujKH
XL+Y4+QeJ6PsL15ddA+Z9BGq8pUBSRfAdHU9vVgWBwVJ9Eu57tkXuztbgB39s7n6337MP/RjTM8M
aFUsBLjf9GS+YlaKX8vXty2ZNz/5oy1j/vE9+xhgHr8PQQvNiR/ZB/4f+JC5H8GMAxj/HnDwg71n
hn9QMSB8wzK4dCsDut4/2jKmC+acxMQQzCmNQZeW7b/QsfEbf+mNeK5rmx6SJZPevQ1v/eenQWaB
bG1GT5Qg3YMHHHppOjPmpSbbhUahv6bBhGnQC8MDPP5pzUgVAyb2hAM7Be5ofO1iO3BfYlLh3Hff
EtO3M+eoPHZYc+kzZCMy99i7sQldObILVbsuiNwvyoqq3ZyPqc+vrLtP6NJFy9SZGd1KjdJ74cyZ
vOuwvt80leKg14NajlaqF8HZH+fgKKGCjCtOuyHBt0yrV5z1FMcXxyASudSfI0LrWOKCMyXl8OIR
MbV2q9qaV3wdcmaP852D8gK5a1gCiGRVjjpyKE6fy8J36nWJy31GCTFieQaXZJTrMoyL22x0nGqN
vLdGYW9gn+ijQJb7kV7ac6nE8CEUAPew9sjuWIdp9LTItnMKryybUPp7yXXKlEaYYYwe1NjElrcd
O8A7Vbp0l9HiivNI92M16OlqTuZw4DioP1dARj4ads561eZte8us0kg2gMsgLuSm+y4S2r50tm08
JZkvXoyqpItG0NFwnJpB3w9AbrfKjuMvwZTzhceA93jjOT7njPfeMxt0q4CApN6qLoLwXQ7nY15+
8vqalLdEUCJRLVm8ySD0V8LmQJnhir+1ipDiO/OnaRPB58g5cUGhi11P7gEwk2Q/mero4CvbDK0+
EbUm4JsSKEqvOnnoR2msdBoPWN6amVLbcNOIBNJZv9J2T08aM+kNN1SfgsIOOBR4mFu28TLqTlSI
EKaldBHmsAln5R18o5DvahJ+NvNoABwwqD8Nwy9wCI2oOYCA7StwufT9iC5Mwkxs8yCND15fiDNX
FI+u0Ta7Ys7Ex2ae51PigCMhESi9mVJuVFVp/1OXleNO2GN7zCorgfEQPDWNXutQVYi6++SO9BtN
ravq59pmLY77wHmVJuIbSfDVGuk6BEWqHNtX7Xsh6g9FglgCnQRWqGbAjzagvSn7jlEP4QjysYA8
pMb0rrYwMCTuCQ907MP+41yuV/0YFCvy/nrIbh2+MGq7zF/VbSyfeA78m9YsvAeg+94iYhjTU57A
GGx9ETw5XVplm8o27WDPP4JCUY92Ac5C5dOj1YjmgPbevRJ96tPp7AgPoD8lj/ina2NVVJ7zrkRB
dXWLwMYI3CyYx6IigM2HXSWGvN4pXVCFkqbXfhJ5QfXRI0N68kuTkpmEWC6/JxSBqq433WGNAXTQ
YN/z04jpAmml8V2N5p7TM72rhzEIELTriSYsHezhQy3T+iqlo0+TKN1rBnpIrbAVzfwmEOv50JsP
4eL7DWaQbKuodoenICSdvC98WBd6nD6FuSyeps6q1MHyUucT97f8lnjosbBIAnfD22clryZsbjpn
YzCUqyjx/duUMDhgjQXRtMQ9280uQ2W213FDwnfhRsm+7rPyFgOK/TQU2Gci5VqPWUEmujIaizdZ
lN5dIuEybSyvMbdCdbGz74k0uJ11amLkjD0cd2CLOkyFn1NuYa5qZFvv6NR1lzxrbQqmuTmQgiEh
w+TBtSwLPH65Irt3RTNWnL2IpHEOqvHZNQfmk0FGgieTP8Y9yjDNJwPgB9A5LzcIijH9q591xX2g
YvHgWKNVr2qsLQnsC+0/x3kh7HVfT+qznmGgikIsgqg6bdbKJZysD04plDGeeWa6aAjRTG6J98xw
BOmm3YJ5Rzkk8uSgw/IKuJvYLNP4H/LOZDlyI83Wr3JfADKM7o7NXcQcwSAZHJJJcgMjk0zM8+AA
nr4/UFK1lNVd3b1pu2Z3U1YyKTPIiID7P5zzHc/YsGbDQu931mFUVn4nEsRlHg/uFjp3vG/4nxWu
u+KhHRgUdW3MpCX2b8FShNcEpqsfqeNjwwmDdGfZ5czovRuuQpHbB9l55ns61+n1MAAaSoqg20e5
J6/o7vkM7VCcA79GmNUnDBEkC7xiIkKNAXuvtzLP34nBKqElGQ1EyUJ8N6J6J1T/PRFQsHn0o6OV
im1U29HGSNLhwy3jTxIZ5Fa0xkR4pYVvo2RyTmTXKTbceu/1nosJML61DVeCnBLGnUWiBkrSsMC+
HpyAtHr0q2I0t11mTM9TtYxFAyts7uzAdchjDI1q27j2hr7icUaTu8vR2u3KqHrOzMk+ZlWH9rSJ
35dRVnaiHSYJgpVuutHoD5mA9ExUusAd7i3gRNfIFKEo4IW5aWBiSOW99mN1YHpA6AEJnCvGBj0C
OxDdqrTPFjBR8jEjwBsr0ZAqttJEV25K2SdXtlMotaLnmAB14fTbYynh//YEFe1hhJ+aNOiTNW7W
etrMESU40vZuynG/6YoxffaWT1l+At7TvzhZ1fprBn34Bqdu2BeRVZvrwjHq+xpp2H6utaIxdBV1
wjD2VzlcwnwHBz0ENEQUy9wbzmfehQMckXwgJ8Jlw0kxY4TZutJ9PKyNquUeiO22HDHwtbhG2faI
HwXZG7dSdPo2TiMchwWhBlJzifk+Gt7Msa/LUt3yaxF1GXrYfZ3WBH8b+CTerjGvjE9BEH34fN1f
Zk9sKHuuvQgMU9rWyRsHYn0fC/pnABC587Vp4pcq65WZhPYdI875xQhrcxvKbDwlToNM08wWBIXu
AJT7jcark3rvrZ0GryEvjEQL4ISCogz73JC7xqmabyWS3kMoMrhpsj2JBpldlQThU+rlsJ5m7f10
TJk968Gtdrac2TyoDNTPIWMBc9CF78EKZzOh+OXBZ4FHLi7cAXoPdme4UR6EXpuC7Al4QnoaW2M8
1axHNk5dE1+Rex0XkvTODKQBOCk7JvKh4b3yGCv+sGvPPKiwazeONwe7NsdfCJPd26eRt5+79Nsk
8Od2XryRHuGiFfZ1u10i2YlCUMhEgSblmOZ08+m4OIWZJCOIHsXWpskh5abYkDtMzowwNsKe7gyn
dk50te4xrSbCqeDtvpEEwPLJpaTw2hznkCrMXdXFhBzMNgaNRqk7MRvWGSyQ3uXsba4LZpVoEQLI
QVmBlpggepZ79k049Fdgrn6CEopi9gi4QRkgCu+jh/bpzt6E7pBS68ZPwcIWoa6vujmM9sZMw95q
bhUfh8djFzTdt8ldxJfxOOy0Nd6YYcQwES3BxoxEwiYDWFWrkQanYLKYp1X+zuEoi9aOM77wh4Yz
y/n5HT/euIX5k+xcElvOZpU633m/FWM00RfpuqpiiSwZMKkXmsahiN0IsaOUd9XAXR6w4CQaK0hv
cdfheA/m4A6lhDrnZpGesRKkYFGr1LvwhDKtZPzWnOlD8rsitL3P2WQ07XZBQSyabd14vS1OfZN5
n6TI+tcCM/WKDVb84DR1fQV8ymXSUBcxJtO8u+bYzI41c8xNW8sfIdrhgyxIYw7dpL/pXEu9uG4H
rSYpCobPXPTURU5SXVf48Kn8Yyc+lnnYtou0eOL06NCLzGMBVrbsD34jxdHw5HRPNgVmwLTpT2Us
A2ALfnFyRkI3tNMWtyPpRqWQwYX4sPQF7mt9cCTC6il19uTTghELkxrPobC2LHsYOkdWedNIqGir
KgjRfzgWKmAO595HRcms2/tu0srwNiuwmT0HHvVj+Yz71nv1iyw9WSEhPV7TumdlYbJYzWHfV2jN
w+gutFkA5b3oQSDN449gQiEm4EasAuJRN8S+DLtWco+PBN5clRIsXTeE35URUGXComJTPLw0TQj8
Nd2zZq2OVg5JgpH3hRt1ZLpLybsxvb4FxGNsTHOqEA0GkCAq/SOOkfCmOEtPSaMnvtbDcER4auEd
6bOt3RJpOuZpcNAgiHyz4oCss+Qosw89mP5HqCrnmJT8VZSwJoOprPkxGdF0lQ2CDdESYrOzwarA
zNLmlp10ucO6wNvnavfW8BT7tyhtEAUXxRoze/Vu8oW5AWuF79rGsxfbCRocq6WcqH3j0MkJT4pv
gqgL4+khCOKWeiHJ3lLLn/lVWO3n2Jt/0IzZZM401iYJgHQPfld/M4xZ3wPDg99UF471UsjSeM2Z
fO1InqoObJ58xHJ+VvnrecxpejplXRpCrSA2t5tWpQCmBt9PdwqBsoSTyeqOTm6I11XL5+URF/Q8
IfLnm6XFvlywUkXQs+2N1oIwDlkS3iB6QZBNrH76FPz4Is9j4fP340odhwKwBLpqylPzlAqckLnM
P2s9HnToPyqm0GthDfEl5krEE1JMh1bJcDe5DRg8p+yOrO+7l9oshzfycZqtj6f8yWA2dS6nMvhh
UDMtARwFA+jG8/d8PC6bjkFeO3NWnUXn5i9SBT21kecdS5OStncM0E0YXw30Ekh+Dv7skRZYWAbr
laLgiCe3xN/bYAPBnZd1TKlfql3QJOqHidB9oTJ502rKAvmK/FHIFQy/9KmiRNpW/uTfdHrOnmto
VPuJVIoDZJbxTRRRzt2RQqHO+gk3EOksd6FhEIHjzeOdQRpYy948JWmcie02SOV8nJlU3Ps5SINw
CuK9aGCvQzpFvDC3zlFObr4VqWa/0dlmDyq7Etu+s4jqDeryrvM6aNF9OTSfoC2GR6MQeKbawW2v
hVeKre4nsKDpZCts2069l639M04LAuCiKAhXE97ZC9mDQMEzJyagejFTmG0fbSrD60FXz/apCWx7
Z0xT/gyfhMp1ltkFi5UA6ZyVN0EzeDcZhHXsy+08bcqowFwEVba9pLKrbimukwppfTkdmsTmqKm5
RO9DSO7wZCIvI0EqV/vUmpsHDEo9SL45zQ85hsqNTxdztkOLZUEGOlCYOEFKUrPWU5uGT26CTCJo
AgfXxzwkR10Ie+W1ej7llGenmvTZZ5T5pMdRhd71tuY2mRPnKbfH+OQPVvIeyp67KNDzjTd7WHDT
CtNS4ybWddEiIYusgniRJPOOJsadejWzdizx5AjvbXDJnF/5qWO+gbpKSW+V8/jdTRHBQI/xWwYP
nWtiVvbLHvRka22dkuX7CsXJvCPasbrmHq9eojGongZZe9u5cmkMFOb+CbvMLa489U3IVJ4Qw7Lp
6gdWTYadA0eeKLGSJWYM4UE8PFuyg7+DLvo2cEd737TWzH5Mp+JltgKDogFyflep7MpIParOOFnI
9b1bb2UdJBcoXCEfrXqrNBOQKDEgh4/xzpzowfk92HixqRhwy4hAcboybk7bdbHMHixgGQcAkxaK
miz/5mRmfSrTth+2xdyJd8OlvxjnhHLJTwWKSCJuyZZzrApJccywl9+a8hZM5kNMEvp17Hr8sPYI
5H504dl8DTT/1+a/ywv9KOkRuc064hf/eOHNW/f2t3/Yfrk57/rPZrr/bIFw/znSXP7L/+6//D+f
/x1PKANaJq44Jv/VaBeJyVvzli4+5V+Gu3/+2X8Md9F6s4tTCPjQn/wl2Fb+5qF7t//JIOpYv7ko
7cBDuUxYUNfxg/wx2sU7uohTgVFJx/zdbvrn+/CHzO1fJVgK+avszXIcXt6TJrQstBzmL3sWdrFV
4znC3oeJl2d7mTHRBJjArewH0ntrKXXvLHThq5oA83WYzsW4NtNJ2DvHbbud9iTypdaJWVWYesWE
q15H1bd+LohHGsB3yNTbRKLOjhxXwzujje5oJjEdStKFRrz254Jo2kF54HqnXKVrJWPzPiCwdleg
Ibi1HaqKrCZVPCl6fgpGCtEK2O4Ik0qTSFk1n8AaQBHJBcfu5zEALN9SN2bXx+dQ2aCj7CTeGLJn
cMdttHW7PN62XaKuMI/5az+am3Vt8WzCd/U/Eg6cfLUoKXZWG7h7QtPNBznH8W1aCc5325abnDpR
rlwuqBPoOntjUpzvbBZ5KCaIzEI6ZQM0RAmP6iHMkn2uSH5chcOEcCZyWQxbXq/uNKnfG1FX5WVQ
LqVNntU3bmqe3Vm8dr55PZec5oToHeYpOw+DvKKHuIsMOmbP7S8SKKfBJ7cZXdntKEn38EwYTUN9
73alITLyo4ycqliNmECiNBCPnScFwoJsCMyN5cZ32DuuGiLeV5XK3U1QeB3mgAURHLEaxoPqM6hm
0GiXb+yjJtCrTfDqJ6N3TGZVXTh1+3KNn1NgrsRI2SRTC0bPMK9HcrVpUTuH4lR1KV5L30qPIh/l
YaCkP+BcH75BmhYWnk8vzZFAQAV16LKw0xvH0iZCrHW6gAQG1h4rvmntqi+0/K4JzbxiL6hXcGnA
XZCEMW0D6PofMf76rcm38uBHJQvV0ouKvVl6xeuAnP1WosVn72Am701VvnRqki++P8u9zIv0PoeP
dmknKZ7KWFO+M6Q4A8WRZ4As4aa2RLRp2vEclGN4HkwaCVSqxsE3dbrHOGXfSSMDEz5CHKMcSflG
eynsdSvokbJF6XU2YoFdZSkpHWS5oN2Di0T6uJXIpw7pBGmUPjAK6qPpYYzD8Zjr1rrYWCeZYnvV
8OZ4Sp+CVLgwQtoEztrcvWpUBOegIOfEl6bz2JrKiCDNlPrWMZLmNRMBYaxpMrf1ehgNr77xTVQv
WOpyo9kQKdOuEAIa29TRqt4GWhEBwa4A9I/ByxRM/y6DEPmTi2+EgsHgo6jTUUbbNkSNvyooKK/m
MK/XTjuAzkrsYGvEKFU4LiCiYHyMb5LI80HCuojlurk7D8I3L6OFgHKFtHF68OfSOrlph63Yra2S
gtAOb81uitiBWIkN7JjhYDxKE+icJY2rnCDpnhABXVq8aJHc2rNTXAfDnF7aRhMDEIwYKjOLTAvl
jgcptSR4mg3oHU1McKtY1ZxRXeElrAiEWWGcdnbKm8jD80UWn+2Edl6WkzhbUTteMXON9qZjd2eq
COLo8yx/xabKoockBuj79vStgonkM5F0gkfs4DYuzLncBxoAbzrVzYNXVBDc3AH8ERO/PYQ8nq1J
5yleu0zfqd4a7yZw/HRGZdOtK591BUfqlnLjYNRmc5DlEIE/CyirU284ddzvF0v4+SX2JLkNhtDE
ypjlp3bIIEUWXNqHYFbGA9Fu9u3Q2t6TFdQGYYqVhiGFlXIFCTeh1wa9T3/j/Cyg/pMdqKsnr0Qx
aVRj8xRHPWQdfMDdKgPkvnWsiRAKcCz7Jc5xZ7aRxowZtqCRmwTNDvinB1fmwS6KFINbjHDTsUT2
eA7zeN5PufD2yu/U1oJNvgktPI9J0/vPhdHIXd3a/T2ZnktiSRMszCD5HGsr37MJiHagaeobW7T9
DaTBJfOEKFyinvNXyH/+q6/y/EJXy/5oNGLqoNTm2y66bT40DqF6BorcJh3qrQW+1V17WRqdUoC7
J1jP9Ub3inXTbOWXCmM/aVTxD7sZ1VoU7YkxxlLDdztmQ6+Vg/Mf9pC8x+UOfmacjiqS4SPCvuGz
aE3ybhpn3HfNEg0ke5tpvZiYvzKii3BLNi7MNQMYFvJa5nDnSiIum5cNaNOTMZwp6AGBCYPHS5ao
QhiirvPcAMj3+ti4tsrhkIcKbQgj7dGA1MhRvbXQ/63zJK8PtOTNtkOourbYwTH/bbplS2R6TnZK
na5FO6fAL0YJ4sG1HfUkenVJdoz6ZPldmDZsGzpR4qSbV0ApnMw9k4O10s6Iytz09EOzdBuI8Oat
XWtvV9AN3mNq9dBRhqV/GK0K4BZwS5qc0WdDdy9nkhCyvG8vZst9VhHgQsqCXb3XCsXlWPH24E7x
HgGiMI8dK/c6aiuHIIig2lhtMV1Z2t53zjwfxDDO+0LbGQqH4CPl0spyFJejbA86J81JFfT6Zbvq
XFoXj60cMKiS3DDDuW9hZZ7cpDQfoOgTm9EY0PYjWZB6ja2hd1Yee5yNKEZkkH2MPtw2jZ9j0IgT
e4LmieejPkvFusxh/Mg105cfOQSCg7Ir9GbMX8DVeGTQRMVlgbYseMt5Gw558MAHkPOeEs29qlMw
f8qeOhgudXRjhYCp+A+Z1LcjmZjmXF7ITzDPoN1zxq7msB3A7ptr0xgIrdE2xmdbdExmfGH6P3PD
YZ5sGP5Op6kLAsppxCoOlY63MCeFuxfsA46FWxj3RKOF0DtHl2yLcezNtdEWgjAQvyjvqS/i4jqj
WWYzkWfA4TgG1tHRpKVRG7uuE33rj2NzYlGZ3QWdE3/mnDhEALjoSbORjVfLSumbk+eEulLurlXK
rojJExhKm66Ef5bOIQ+ieOfg2kLSF5ts40ycDIx9D6xsbCS4urpHynxrsPQv6Al5wfbYlGOJ9HlI
V8oc01VHabFuIResm1aPHzoex58A5z/a2GteZTa8iWowmQK4YXnrG6E4oGRGqy/jeF2Ujj5LpwEm
WRGGNrt2sykD5jGyJbVEZ1xPrdk7J6dWj/asYcrRy7FtNhT2i6LdRK208CLic/cyr9hFLVYA5oz6
tqPb2welNh66NO/22rPE2rVhsolkCj4Uk+Udz2jIXmJ2+Bj6/DFmPHAdI2e4mOSZEok0dDuDpCbi
XDLxECJ5O7M3hhGQ2HOy8dwug20y+OFpMuQy0OsIBwH9+W4lAxN9owouOY6CralLRP8cUTi0E++m
L1FtGlngkPxlhHAvHMBgWqFrjfBq0PiyZwIdMRjl2o613EaBGe2SDqkF1ZU2WNeWLjueZthazYiT
cBTWA6LmxUYPcbwnhPbgoYIjgUlbTx0kDWgsrXNIxaCPcRaUF6mzyVr1YmZ3yRw5fvbipjvUOq3Q
7zugLuyY2IwYVghgbveJiw5iqmhQ66GCtLeuVukptnIM40BROFqq4qcqUnUtWi/7NqRFvhcd0hEE
2UQmpqCzfXzIu2ULfCyGytq4aeBz1UzMgqkGHHCDxXhGpHLnme2OOhUtppyTrcqa70ZQbmrtQnKY
jBfggNEyNoF1WoDiFqoBFl/StFRCtuvKNsdT5UWL+gvq6mp0Y73t0Q2w0cwZk/DFYEOfd/ApTJbn
jyYDfnTcXcBvMMoVkrHg9JfO8j+wJ9nu383D0v21T1ssrn8RpBlKzQmuhegw6p5kCYc8JGPwJSk3
qFNsLykXkbrxrfbt8RGepv88qaG6taM5vFKTXb8AhEi27kCBT+yUHe6jfqoe4UHMO9MzMGXINN7k
jW9ciqGxIx7amGgVl0/AXPsupYQR2PGzK3wDfgDy1nVgd8W+GiSYgyK9Ukhnf4SiZPFjjCXZk1l7
IGb3CZ2wdTS6ytsGsBef7b6H32Z5gPZqnwxlfna81553A5eB5Dcott4mr9UMQlTKVyr1cO/ZxLJY
iX4rB++CJvCBuE2yfNIiJbnZnjbeHE13Q1+cIYHPZ3KzJRU4tPiVaTVgeQAuRGKXjQ2ry2WV+mF3
qNwR64Qdl3tOUYhu0yq/o1rNCNeIFaOfJhLDmV3IdIxqqt1VF9ririzb4bbN5gSSA8cBNMbU/vR6
M/6osFtsKtcg6b6L7PtyTiHksRhezYFwzG05DeIK/qdx8NjTbdpkLuu1DWJkJozEHD+HdnxuI/A8
Re/FO7fJs5031tmOlBI47ZWHmLaZ4+tAe2qAltx0Eqk/8AqmkmyWrDm+ndOCGzoiLjugf72gI4Eh
6jA6vedB94+jP+qjXbrAHU0qbIs87J8kM1MK5lqPj1GumQ711At6rWrCrNYKVQEhWNTZw1fJnX2V
3/ZSiXMLU5QnFQIB3kh7Z9LLZ0z2yXdylkre+Srq1VLfW1+VvpmwH+qX+l8bqjv7S0/Aes9f4RUh
IzUbbHcR9KrbNtHYhEq/fcyXBqP56jUElRmH0dKCOF/dSL80JvnSouRf3UqwNC66Ye+cC82CMQK5
Q1ZaDWoiMhBcf7U86qv9sWSDB6yr5QidUFinkUn3lv0ZaQ9NyhfXT+Hoh4AK3qrCJNcdJfnKLobu
4o5Nsp8UWk0OMfotJpUPFYDHTWZU94Ydx4fK4A1zgC3d5+TNrMuYSpkIrtFYlZTCLEtIN2Fphha6
wVe4QltADCBzYdwnfA6Ej5nWspzz1j3AuouvtHyq+QwmclJpGdOleURSRh+ZJiT5RWnHpIAm0y0W
J9NX5ym+ulB/aUgry0n39dKk9ku72lsiPNd0sMg2Ih5dmtp8aW/5IZdGl5a3WZrfbGmDxdIQA/CW
e88IFWa7+gXvUvqO0cLkS0crPS9NdbG01yQ50GnPS9MdLe23vzTi01dPni3teb406sPSsndL8z4u
bXz31dFDpQyIXKLNn5eGP+GQzgNmsx0U6Bzh/TIZSJchAdQSefCWwYHd9f7mX5+oX7jev0pvfz9Q
qQ3tZWojvV8Uvn7ThpM7TmqPLOZhfnae6zfjub7XN+0d2Ivi1shu/vUr/kIY+zrC0RJDDnZdnydf
/vKKmnlBDt4sYL+igvcMsijrADeZbtIR5hR+xnIhY9Ud8NMwjd4tb8Za7Qbpz9nyRgKxpjjYFYme
ErpoCsTtHLDaWdtlJc39TKLBdzje4hHFKCc3gCBSmxDTK4Jw06khka6sz07eEFdIpP2Ri5nHjenA
SkiFzG4mKZ1qit45T3aZa9W7qWVJrSAevQqdEJmrg+w4sEEmcSMzwPxolPxdkd5BWQ2vbAKnSKal
vnuIfDG/uTrGJJctyKZkjJsnN3SWxzG3s+//xZuK9/hvtl0+Pywbllgwe8RNq1+kqS12Ynq92thP
nXJPRRofOztQWM5Ig7Jt2i3bd7yL6XaGtbKWHZpH/Ol+sKX10kJvLdZNKcOPaej1Kc/c6cpQVntR
DGWfqe/KJ0dV5z6GJIRbdGYj6+j7Ju+wCuZGlfJoJs6CKJ9S9HPMDnCEoZjaiNCQp1aFBYm+Ez+V
49sDBXIwF28N0Naa0kEQ0zgv91H6dTUlX9cUhj6uLPfr+oqWm8xf7rSvN+z/62k9bApES3zy/7kO
+/ozjMiNmP6uw/7HH/x9Uk/QufRMm4wHa4EnUc38KcNW/m+Kwb0QkBS/5u78mz8j0MVvzM4dxNZY
uhyJf/TfZ/Xeb6aNsB8+Gs5ySyLv/x/M6tGD/P27rhaKKLpuE+4HXnnm9X+vAXuooQrXrzg0fuOG
B4BjNMcKR1yzfLWjjzHNshNeMJw6jPQplaxJgahDsjLvQj9wvtUJoRNFJwRsYqhtI3MHAzENk6ix
3udQ9L75rXSoNbR5mxuG110crxAO4mufuhHnd+IfWhRP6d6cVF2d2RmOR7ImWSx5YRRuVdCFj60n
cc8MRMig6bSMR9/qOUh6CT7QHbMVulB/i6cjXdeFujfnBl6dY95MUzmw86tqbrl2aH7UWV3pdeKg
CuKQDMOzmbR+x1jFms8eo4NsQy0PpaLP1N6ds/wg+wZthR0zCvPUuAm92SHgdYoPtstcrjAmRCl5
Nok7HTnszEtf7bWVakbkmb/GezesHLL6tk6D0i3r/YKxiVjbOKhZIpZK9+TzjSgz6ra8t0BgK4Ke
4ynfljbCl7MN0Jh0yUIPdzWX3rTm2Xe5d+Mu0ftADVSRo87IifSLGr1IawUgtUMDhRyxlAnjrdCa
MOtnnMHWHce9P902IdFAd5aLSI1rtg6aQ5oss7Kowmp47M1OJKdg0L6zKZPAGrZ9L7wZLVCUPQ8Z
1cSdola0UdljEcDbaLvpGl01AnMGyUO/C0Q77GVnRh/Y+EKJh451fdH01hNWaRy2oRmGRNC1P30i
TXsD/iR8JPtcNlMFmR3JkIHq9VlSoa0iM7jokXUuoOoOvfqYwzho9AZre3wHyB3APRJfVg9BQs6x
Z+p96xbth4PA4FAS8hPvYwI9rU1WmjQiolKPIL0BPU4kNE5UK516QHE5nTVq/bU7xmR4t11GKw5K
v3cWfyVxXntUvuXJlEW+MVpcwGasEB1NlHizNT8GBdfdUJfoo/H2Mxcz9nFhEQaNjz8t2/ZhcpN4
HVmivTVCK2DWokN2IA7pBdg8EW+BnJGMdvAEoRE3dHZeIE8b/q4Gul+WY1BziSK1Ejd+5NvaXxGE
ZCXorcuJQAA/To5TiGl1VQb9hhqRlCVwLcdw0Omtr4LhpeOzDQDbBAAFQ3skkXTSIyOg2dB6A8sf
9XAun0YmRnf1BG5TJ9kWEur8lKMS/ABlqLeNktVD3oftXjLm431fuMMQOl+k37lHmBb9ddVNnyXC
Iiyhk52TLBWAgDOSZCcaaaTPlaHFgy4nK4VYl8pXDN9WuzVz4R51NtD3MFTaxHblbIVh91tvqPud
WTMynX2pUS962Tqn+KTbInjRJWL6kPnGyeSy44TJRyQTZv+MgYOM5DbMLqGPCLYFg3cioNgnH7Ym
x00PQfc7AOt/7cb763r6/+4/y5u3/LP92lL/Y2v9+576H//4/8YSm7p2AWX/53fi/Vvy1nbsr/+6
vv7jT/1+IUr1G6Wk9EF6/AnR/t2WJPzfuIkk2UpL1eWqJSzpj/sQhja3p/8f5ig5v0HOw5fksXRW
TKO9/8l9qMQ/1X62xYYL5DJ3L0wb8Qs8rjQpYAsIgzu+o+yujWBEoWlnTNBXrV+KY6EYSaBYHlqx
95MER2MtbIY8uZHmRJpR764Q4asre0idHbNvB8QkKA7kzRX+U6mbCmA+7NmagAn6mbOfjzuoUJR8
aS11t58ah503U1uGwKFnwEWI3eC6b/QyTULJfyTXo2o4mXOktoIAipeZaabeWM44clnqpGxWKMcI
IzKLIDxzoIp3hLM9gl9f78fBV0QxWPN1bYARyas5Be9KLlBV9+n9YFf1D8zGxhu6MjQiRPmI9zzt
CoYsIXaKye6T/MtzEMGZbcOPwZTJ9wzJWg3b2SYhp9IyVXs55OMDOpZ+T6JGY7OErfsXMvUg4M3T
+IJWBmylZhN2w9ygMTd5wUiS9qKbJQQXOzI3WWc4UEY4amBCMaUMcEITX7cKC6e6zRurTrH49P5L
VVpO+GYWClhBXBIouIXugpmFdVJzI1zLe1GdRdPdAQkNV64PfrNtnYxokHwg89uQ/kC85DC1xb4t
yI49gnRr0JkW5KH2bDeIK4AJcqbZdwlZGpt8VydF8u50fXqeE7fCkd64H5Fljd98Aj2qVY+utVjp
sS5OVTonBHxXGtFsxlYsbwtCrWZVinXu9RLHzVSXDDoAMT5Ffdg91cgh2KXNfgwqe3apCQSS0C0/
wfg06A4NV1VHd6nVJs0umDr/EMVduwelEj4nzAi9JbcilmoTFz30LSX7+XuPQKKBSKwtiJ0xPKId
3vjJBts3JG8ed3bORcctd2XJqgCT3CzUHtxf+G1M03xs6yHBXaEEob8WK/mBXJUWLW83URmtfaAt
T0xP5LwmJXh8YV+mziSBfskamwADahfkFV9YohkA9AmMAVaDnHCv85ITHhyrU227Og/TjVkaw55K
sD+3OfOGvtUKbjW5Mz6mZ5T0RZvna3/I50uQdE52P4Y1VjY0Igesbc7FiubuahzMiMjFtsDGbrHH
eGGvn15JCQV4Y5XkglSdKTdWAcZz1/TAneMAzeDaHFEvNRj3tuw0xIsfJha7Myu26nXZG2G1qYbe
12unsgHZ1nZzVHB8kl3ZRNxUpQkCWM+GM61L6pR7d7aJRq6jxH82dVx/T8xMvQvUGFdSD/h1TIO/
nHY7JQpFfe9RZpJ5iJt6xbXovkkvFtQPbCHENs+o7XC3ZP0tkSp62qR9756agTsQaNQAh8Rpqv7Z
K6P2nVgndkSZnFS2Z384Jjs7nXtm6pM9AdgRJq8cmIPTr8AlyegKa7XGyR1LxikUrvCCwXBUaFy9
Hit7nFIgI7VkTz3No2ttYCqxUfaVFUQUG4rHPGKxji7e9FOQ4nxh30rXiN9SozKCg+1H2cdU99Yu
8UPnXPCEQ3Rg0/ujEaK8kbLycC1SZkR+j8zMDhz3R9PnyS0aCuFejbOImxu2ZMOrgY5nlYBnWltm
6aNiTsJvfKOStUB6uQ3AYGFr80iUATOd3dShMqkYTOI8WJeF9t6zuoL0ZjlAG3fHvQzRLkwR5XUR
jem46ROrb69IJR/EOczE/MBh45GPSe30phJD3djAPHgBWTcnIl3S53hyAuwBnZLLPjY3vpOf19+g
gjV/9jqaF05E1c/IPRdnGs/32aRU++gcQsg422Pb3CuL0/HJHQ2isnt2lsauH5CJ7N2i4TEDe43T
qStmHCANumP2F6X3qAIrszYWqlBSbnlSgFV1xbaFYnzlePFr2Flgohh8rlgl9m/Z2FcPvR5c0veQ
R3ujZ4CC6Ao2VW4tB5L7sFSsFsDCFuLE8Ob5oyMOUAiLi58aLFyGGVSMVXQeiut6fu4y2Vdbq9Ss
3LEWwm4OOjd+MN189Phvg/ipbgXxaox6sx1EQeeYjna+iIzmiuNIm9ZHD3fxtuwz5xVR7b+RdybL
kStbdv0hoczRA1MEog/2PScwMplE3zjgju7rteK9KumVmWpQE5nJNLt3wGRmNPDjZ++9dn1vUQi6
s+WsX6t0DvL7Gvo8DxQrJZFku1PzWVT1fEBAgbqruQ79YGHONlnet8HWWGU4b0aC6v4zwIbxl7Sr
VcduXctPt3f8ntzW0GdkIlPKVo2aTVY+J+7IEEwHXsUusItcEIPoV2tyr/txFVuwjOkYBwo3deQY
pvc2eJ7DwY0DXaxC7IiaUhAOfuuppAPxbBmWdWCRmD23tc7IrdEs3CWBi59G6Y+BBRcjd91e97JO
jcP2+j00rpzk5uJiJbhT0nvUlT/Htiff2vSa8Utb6OyFIvKUu8k5t3u6UufB+ZmzQhzTLERsdzu5
UWO3xM6Sf5a4EeFq+3/dOf8mymfszRyahkrSWm+oeiNM4qaz86bKXAbbtuNJTHBhACDPwn6yjyRI
SojGDuj54+QkGfXyBr2rG9vwXLD9qMpyQzoI1NjcXx0Fcxb8tK1sUbZNZb5yVzTWqCNe7IJSq4L5
duXj85N4HnSeaWTUcbKqVrGgAOJC5JOC1VAUh5LWrK01YtoGMDye9QybwOcLMcTYmAtgDJXYZvAE
HkuXPi13TCpyKWH5B26d9RsQHvioAnvAmbEM34YEX1OunpPDvilatgiE3G59j6bZJpwac0tQldok
0cPgvSxFaxgvDox6iV1pzFtUZU2Qx5LcEG9lQNfXtuYDww67o+CVuiJF0oJQ5HzscsO+lSYXSdRq
lL1ta2r7HUJdWRzD1R7+BpIu+9qrJj47QVcd65puR0z7YvR39vwP0g7lbNHa9OHNtHbhRShrwVho
6uyb6I99cvveoMl3zNR3Zym6N1XYLp/Com42XhwFqg8hGUyhThM26A1GQjrehGYOJX217uuFrjYQ
6aq4MfvAAjFTsk2Cye6dyrpPEB3ZMhD0s4ZXhqg1jyi5sv4McunfNcifU1W7QRY3Fmp6xKE036Z9
iIxe4dMzNr7p0mJJqW5xp32TvQg7LsWOx8jW2CxV711GaIFHQg8BpCgedrtp6q+n3+rLimNV8Pss
ajtvXNjs1oZ1TxDXlBQ/THi1Xm32XshqQd4ecdf478UkNTR0OuEexoIK8zgAy7ZswR4xFOStv+R3
vUnRxVwMvd7Y1sD84oXyweqIGydDT8oiweKAZIyFHF6atvicjC6QwNKGEUevWxH3wZRciVX5FBkM
pg9u6k5nnfDykAOEtRTxGHdfuVMj7KVQBbs92m8ptzSaBvVbiiD618KaldN/dc1upNN1OioyCCj7
RIMhZ1BIHpeRq/Yl6DoMMwRUF/zlNKbV27LOETcWWVhzxAN6UTGANPVaJo45ci4LdafbJTk3ehy3
fAX6v7V2zUeCB9kQm11YPWQEzF+ISYevFsV2e5T98K+2R/GyACk8E7Y1PhYBIHFDMfT6MLWFJmVk
Mi44UkHLoaoc32jjLGDyaxEcRZMub22+VMh+nDEAaESnEL+dquYhIAqYgYoYE0Mz8X8y5KqrmJRF
6RyFUTHFDHnD/ihg+j95/mjKCH+ZfcwHy6t2Egk7j72M0y1ioyaXfWJnaX5alVeeXQ2b6KgdE69c
XtDdRaKpCn/HZqz/DMTj5IZChsbaDtylyAxAyMLgMM29uRdZmxsbPr2Zc8ptqFE8s4qu2LnrNLEN
M5s2NL7afiDqWlhV0JLQr9ziCGx/RZldR647sUOQLyAEMpnBo9syl+yJ6FsdJsMZR3NUJPrLbeZo
WFJKVydldOyeKn+bWlgX93PjeBRmEv3b6tUI6kvmqW7eaNsZ7du1SxlY7ZYKFRG4z4LzZoWfsyQP
JXGginiJCV2SEyEEnFkRIUyICSO843lKCWIJOCr2hgXWyE2latx+yaMmk1LeZGvLeNS1uXZiy+xq
51YVdpOcXHMYszuUPe3deXmSTIcC+ScGmNY84F2WFLe7zCTPCzzydY/LwbV3oE6z/IhXNC/eIaL2
9cHt6X+Ax4AY+Vmvi/his1R6bHO0m3xeMS8JTIbU9BmSFE0zvO8TSLpoBJq5w+WG98u0UJGyOF0s
8Wl744AChYNNb2TS0ZuSu0t44fiW06EMTKxUFDZSW+Fe+ezCKvcK1dxlDCRYkDWqvhYYe4UAQdSR
E2kcnRY3rYP7EryQ2SqEJypYJYAvI1YpuaeltsPkZGP40buuwDazCZvET05EORdp4VG0xBJxMtTl
1sDDPHzMJeM2Pr2lviFra/kbQ2Yu7ClvUkF3agT01UMShIAyFXvx7JVDyhuOzoxnhKfcNF3GyQ4E
7Zk5VtUXoH1O8W3yHW4fUq0WehSx+1KBlFw17MEb73ElhB8Fwx2i9KI6Px745xBn7vNlPZhp4I/n
zGDbzKIbZgvbOczXvtUT41iD3jjDY/0IWeQxkZtdSjlkx5kIyxoqxxySwRcrmZD0sRil0DFpIPob
q3CqrIggTbEnukqpfZ6wLbdUzTHVQGP4pSbEsI7mdSEas2KAM6aqbPmzpL1tI8rRdchsPw4kckb9
pE1Ja52X0thnuUtN9kuScJscMGvpwLMJz3B5Tme+sUwtSS7jJKCiFqt4On7jiiV3auIrvcbNe4yM
C1fh6pAPMAc2w7ikrwP8Od4PnCh0zOepebd4dmXdhKIhicJPY4R2CAkbsaS9EBs2zicT96OY93Pa
+D9Q9cjYztIaXgboeXy9aAr6qg2vORoDIceKxOUFAi8Bc1Wv1yVp6vZVvNaufUfhmf0o89bZ5x0a
RgGVdv22TV4Ob/L6M59L9U98mROmgp+njZ5Kq3U4djiCvghHp6/op+ptkakq9phRrdOIt/iom3AB
nBGY1UdKwKjblH0diI0P27eOYWhB5WxkgRYcao0ddLWDOtwZ/MNeZVqG58BbSazPJbniqAlwAMcs
TYFS9YknY5LLZHfXvBDj1Xaa8MSWobf9/17PQw5l0/df7y1Jrn31/7qz/OcP/HNlSemaLQDL4QgT
Fime62by3+vY7H9j7cjO0oOoREr1msP5Dw2PII4F/jnEGGV51n/S8Jx/4yfQlW2Be9Y3Rfjf21le
2xb+1XZgCYhMpmk6rgtUW1xZ2v/q45I4munEqu19l5jOc5E60IWXrDnNPuP1WMx6P8r6IytrhnlC
RR+5X9cXy3G15BmnpbNvgELdZK1TvhVZlt824+rdmGHjJ/T5qCyMBottB5wWz3vD48h0hD8ZqkWZ
sXajC7Q5lsQv92kwrm+h7bW/a+urt2ylyAYHsqXuaG2Z70VwZRwMTJaObMvdJAILw8xoPbLtkWes
KO0JhCpzXNgoZIyFS5JpGfabgRPQOXcAi8/FteQ0ygOneS7zZKUyNncMKmb4RURYivGa6R29TebW
1MpfKSk1ANazF7JMYJ+hrp08ARcUyTT5mswBzd/uMoU7baf82XYLFdauCkwFabVaP2GaVFXk0ZB2
Iq2RcifxytvVYpkQUXySX2hh9B2kfi5WNfdLPDee3T/g2ClDxs98eQhzp9iNtd/cNAFJw0iA6iWy
P7q1vkvVon/NKjceE7vCWlWRavzqTLc2I57Q+FYHY5G3LCoItEoR1N0u8R2Dxyoa/gM+6uXoTW67
IyvKadPQEkXUj4Vzp31cQ+5Aoobm6jWmFcze1T4Sq6UBAkaz/UsG1Jf8s1y6DprK6Q+FwcqUcjmh
g82sBO9upq92jzWoweBlBZXCTuNvFyU6TKSm/4S9399Brel/FlVB8SmGRO+1Udh/utKcPkw1eiej
K2DBcAV88LAKvkysOG5KCsfghS7CN3Y8BLkPznqEIFM6BQkAn5jmSafecoDcFd71Egs6DMgmhZ7l
0PU2Nv4Fd9J0cpUSD8Q//bNdoFGZcCs/62ysnmvyRk+OcLIJCbAQD/lqEHgPIMNbUeHO4a2Ai3zX
eQKaAosYsBl9YF9cibdfmIZF+j1p9VEP+PaiZuIlxdN1zUwaYfGQpxqJqQxHYjvT8FSLleQS98uT
UTrOB2W/3tk3lurApcXiZWrN8LbXvFCR6zcQyDtcLlTCDAE77JLjnCOmpS17B86DFUAwrJy7NE8j
pHqDtc2XsX+8kpp3AYX2LBI5pjv52XV1EideW8dSjcYrO+55w33txBrK2PkaLyrG2jtVOlDA3HD3
D/550jtv+Ke31/vQrm19jN6rn1H+HEw/VS3/mEYvb2uvf5J9R0gcinhil9sq1AoCA9uo1ZnuapnG
vts5G7MAvGpb3q7NMa3eJSxeQip3/dnDYm6VDVZCDPI5DqgIM/3Kmo+YBYxV7Z56TwLIticeCHVm
M5ir+kKGxtvyNRxfmtBpboyrk7A3baDRWBv1g/ISxs2UOT9ArDbYU6Tow5+6CEruycRDrjXRafaH
bLQQMU8Ta962YlXhCU5Flu1tzYsT+bCu510TTPwl+SGXS5mNq5ZvwqSNy+TCT8bd7Jc/lGppnG14
MaHsunws1AylynX2YnTE1kmleTTpSt6MkxBESrCmAYFIkhefl3aj1RhEUwd9PEjDmtaybOJKDeJY
QpVQmhLjYr3h7BZPAcmVz4CZyo6svB/PtWW1R9tPyvvECpId64z8t8snYAnkf2nvWZVYdte7+Tan
pn6OVtYP+OxH/dE5lThg15jSq085PxBFlzvNNh84xOCzQ/SYuuwyzAEzpf07xnU3SkiDxBKW/K7u
GKYrRqsnUZn9u1Hp8uTXEvkbAoK/H2A5831Ih3sQd5qLVufo73Sm2sO2wsOaumcTsNxFoYy891Y6
nNN0xjVfGk+6G8sjxNzycclleucNgsQl4tg+aBr7XjaXDkIdt5zlnhVSHmPCGV8wXGFQ72gV3RQ4
1I9r2Rm3guav7mzzabqb0M4uRcYTflPqkJzXVH0kIfgBJObyVea6veFlLh8AQDufCnsJMHVGxI4Y
+gjKFV/yJRsZ1IExrUNcaGVvpwCX5OAGFmGsFRTClJBUckJ9Jn7hbLJ1pNfIGNdzD+M8j0B3iaeV
ddeuWuv1KVmV1W8SlIs3GF82ePBZ3dWZY598Fh64MasVBoxXFD+ypGDLxAmGLGiAVqsQ8nf6+rsJ
F9j3iu3TLq0xPHKx8/6Y8Pn3HtC8bhvUFjyepmo0McMZ4KBjN8bFH8jhR06KkDRx3He93DF3ersF
uMkjyqCLVcJIKQgPgpIVFV7nxLniOpOkeoPqub4oEsWX1ebiBf9NWie8gMTg4ICax1TYPyyNEWOo
F/oGKSTL7doW3QspOwZrDIiiiUPZ+5e5C4obqh/QAAaerW5WfxGhy/kYl8VtgUJxR8LWTiMQL1wl
6iksPyeep8WmzIRtADpp2gecSKY6TjJfn1uL4S2aWaiexIDBm6DG+DIX5g+ppnbd58lgRH5a2dD0
hvSvr1W6a7wMTWOxrhbGAQ9RBHVq3npc6F6L3p+e8dROXwnrYR66mL2JCtBH4RDAd7sXfymqv9SR
ltzb2yqGhQfhFx3gI4PUjw+qkNc1bTdtZx6iMz5iMCJucVohur2HSfodpsOBr1ZwlkFYbGmyhemI
y7GR5pMANRKxcAQSJ5Nbdl0S7JIsNoGe1mNT4JB4KnGNY6MNc/c8N4X3NBKbI/emrX0BmoM4WMHQ
4a7l8M2d5LZdbN6oBdXJAu+wlzAxgUATQYorVidx41rTA6vBgXlPcLRyF951nCkvIDgqbDrwAYPG
7O8r35lfym6FWlSG7pXmQcvOUIH7a13jOZj97cxmOeppa3qYBre+7aeUeY/F7Ju5wPsae6BI1Pl0
PygV5X4qh2abMm4dZr8J3z27Xu6unOAfYoLzbhrAykWT5y1PvZPLg0ax25HxODipyC5Zq5cdSy0J
pGZYz7PZer/kvMxNl7h3CE35uTY47vHymt9LQ58JOyK6rTcI7txAl9HIz0S3uDJy7Zzh/ovpikpO
yexx6btdvJ4HyTS33wT3rO1E1cU5TQziNfWU38O673ZmmoQ7X5nlbi38DhplaOzBANegtRwPK9b8
A4p6uM87sDCBrQ6m6IZ4MQGsBSovIx+A1AX0HgK0ni4MnbQWho1zh+u8OiQdj/VWGM6uwzAt/Pyy
qOw7dJafzgzv/DQddogS3OucNPcf266DpS07Ye4ySSJ1HGvNxrTInmsWaFXULnMDO3/SBWNEKNcz
Dt1pZy/KeAzEYosPFpWBfxqTAXXL60Le+7ZyfhmyWr137dp85ZCSe9La5l9oV6k8rbVk9uuDMvwZ
uZ+auxUMyOcAOv4prFw/dla93ojBuCnNwn1kmFxORViw+RVDeeGiHTLNXS0AQV3kKJ4pefZo6l37
uSrN9FAPamCkDJN4UgXqVOfd8kRQWxdG+MVLrbEn/mbn71c4wMWqcbNvmDPX255QRomiIP2Pisn6
qe2t/sL31dXMXmrZ9XIZH2jtYW2LRBjcINOAfe/wHMNjYcJlTUBwLp7Npnriim/JbUfx9Aco0vpi
D+UqNibwxFubIGlM/bKVRgyrIJAznBz3paXYVgz1kNAD4U64wUrZp5gvVjTpqEy67E2UmXnuu07B
DxSOccJJcQocPZBMrerbUbheFauhvrFGz38IUuFgzPPt3IfT3tQ/wZKb32mnCSCFpf+hM1MfgyA0
dARlo6TIkpoZJCvQPfPGQeMIY+T7JgbCaJKkXqfgeWDhiUuxZB0+X8VHnyK4nSPdfViGVQzEqCe3
k8H+gBja73lqfY25goxo6TbOAifbV0FXXyt495mV3mPj+0XTSA9J0xrHuUiGTVkbEFOyg+Pmt2uL
TD9Cf46BCagnMfUG2ClgAIlbJXBPaUauSG8Z1ysGxu4DL8S6maAstcyG/E1Ontv8ioWXJE8NQocY
zngjUAI8jpwc81YcttkbnLlqM2Xps8qA1ppV+mIwdkRcB6ddX6g7bucNinpww6JfxjXWQDtX847L
yLeR2MSYC8JebrDBK8HZINJP1VrnFNgpPJmeZl7te/E6SQAobaaOflmv23piz06f9MpKsrZjmxgG
XnbN33OEzOeBVyLN1++ukR1RzV/1KGOoOgcVyixuneZu1X55P9l1u/Uysd7w3XP2hLXDmKOHrrwJ
4w6OBMs+UZWaPiYdhlbWdC51DjRusJzTaES5B9O3a+zdWg8lQ6mxjHvWzsnDkrgmALqqpHbEoJsO
Vkyl+ou3aCyEmCsoMOkrn3WeAcfLJoxJNCh51aal34eiIWQCIIELS0GV3XlGUu7i1RrHB9b4dUaf
dBe+Vki2XwAUkjOC7eQi5JLKnUr3PZ06nW4VRSXFxly54JywGeaPHtXtYIxsez10s6AquQzFW9oM
eCRF2iGgkFah3rashpPv+1g0x2DoeeSN3RuC85O98FEUKnhWBDTOPGBI0+RdcJgr+bV2uY1ravK2
8GE3IdLktjPF+NdadGYxnYoA/d8O0F8TcK6Z6KqPhVjwZrZQT6K2T8ZPvln5JqdwGN97nVHbMXv7
GR1k6+Zc4ayM0GOxWvMB4jPqdJCZ4Ta3+u5spjzzeQqJ6RVORPUBpB+nqKd0A/1q8F8CBhcHx0R9
ZRsUdnn8v7tY+3/VNnjNqQiLaLGFrAcQ2L7a0P/rZdzl6wcGzr9u4/6Pf8C/L+eon4NdY3tEh/9h
Kfxfyznf+jfXNsV10ebwHxYm+v/wE/p0zMEZFTZoCpzv/v/219sWGz0/cExh481mofbf8tcjqPyn
3ZzBupAOOpPf/p93ck6l2hKVNDtgVqiviakQPA2th+GGh7G8GsMbDnSjCcCe9cNJKNc/4ftmzTZ6
qrjl8UL2nY4qt45BYpMjN8B/DGGwvDIXhjA18qCBeFzWDAo5lIhH1OvhwS8FXWx+wb45sul34/vR
AXPtN91oJtvBFgnexYIj8HsMRqM7jgj/N7Ad7BP1vNPXmCzNNwRHl+5lqlH29Nb0dbS6ORESmpyo
65wWz/vEvExs127DedkvQgGsskCJU1nV4rVCn+OiFuvOBOFSBF7+gMWdbtpi7eWz6+v6SQes9rxS
j0x1S+99WEtZ38+zuRhMeRaktb5Yq2rHtz27ekIy8SGLpQRnCSwAuk+p/EcGIyZDt7Ax97jwQcOi
dk4mJsVHFn7N9po0fSLAqt8ENOR7Ugj1o1+X3t5QTnhwqm7dX7krcIOv8sDoeldogEvKL/VmIMnE
Cncj1n8dpZbO/oTTzPtoVEMWbivLGwnqlNN67gzP/p2AZz4Jma5/86nG75+knfxYrdK5C/VSmNts
4Eze1Gy4XnynIh2BcVPdZ11IOqEoZrr95m510fc5CUr0jzkCTD69+KbHgof8BQvIyRcv4D0QpEJP
LuU2J5d3H3iZ9V2Yk9z3K4qpadE4Fs2C+zoe0St1DR6dj78zCVlslupSNHAoImn3zcGH14CgVYPK
iEqsPp81jJk+BgE0/E3rZH52x5ZO1gHapsnMa9AdkzC9MGZ46MBtUzHthI61L2UxhHduSPiISFIB
w8kNR4cZ3ajaHLuDP+c0wsjWoRylMVhDOqv/tynsxImh+bi4Ezi51i2eusrk0KsxSyq37z6Jc2bv
wuoAM9X53NzVuJhG0JH1MvBiVPUEeJxL4IYXdtabnBmX12/EJ7Gx+UVAUihneXQxEvS8+l76Dgk7
+c2LjmG2r6zkL+AidQgKHGp/umoUEC2Ibo57u04Ap/K7VLvze1Dz90QezIsOMxRQNsFQZqdp+IMb
ad4aWO+aWOQ1/z9Yg3HhetDS1qJ1+Om061rcq2z08KXgPqJee6lfJEadn8Vd8485hZMS9ZCwOmaY
+iqPte6uECwSN47ZTMcu8zPy4IXn0w1k4EaKrUZWwUa0pTIxl7BAWEKQmtcqq+BvOPaeRf9daG4D
H7U7GmflPwidDMcRLZYy6lrPT0YVDt9h7w5vRZEJKpTWdefqQbVcf2cPXlMfjg+G4QxvjPNu1LsT
PJ6VxN5Y+cJj7Cw6CBFjMnLfDbEfGW3mbC3QxbwWdZvmEeC47m1hqjk3ZukycxTegHkPpg3ZoHQG
UJXYa+TyqZzQLCfMRJmLkZCruQfHuh3/INVD7DML7YcbTBPqpiqr5dEL1wzudNJ2ybZyl3kvU67B
ZleJo9+VbBMt3saPPizXH2UMKZxe1mU3xAOMG02pzA0bEQoJ8D35j1Pd5U/jaGB5hRVqHsXkrQdn
SPrHPJiIYae4R3CsNUactrp5v4YztuM6wbxLkuRZMZPnqPPpuivKqQK3FHb51sCL00BgCYpPYq/t
XVH17naQaUjNzTwfddKvP6zo2wDjYdaa+7KEhhh5aBtdrMsus9lbpB0uZoiwvpla0ym0WYBu3Bkv
G89w9cK7A6VfLAijNhynzVgpuZwMd4ZKOQWDHe5bOOiMtIYuN4IoITYYyq6/yb17z8oB8Yp8wFiK
WUUWn2brdO+unBjxpewxH1vaoc3IQWHJNm1ZXBerPj6hvdWJ7nUozKJ8tIIWJKnivgl2UkC7sQ2y
zOesWMDVENcwVzx0ymBC7LC+HKxqsp1jL5bBvutk19+kK0V+CEbhUsb0jrIXl371PVMY9psZfRt3
g6A5wOoHxKGKpBSTLxbyAthhtgF95m+TxaRmALE3BxkOtZ6rkZxPzihnLqboySf8jt66cceqHjYV
12uo7xYEVTMFujEGyXw/dRI3uYE9fD9SVXc0FZGZ0deVs5lhQ887advFxe5NmARWq+yDoFxtP853
PSHWNMraARBXP4wrZjKK5LDeN26E0VSQN/Pq4tuXZbMVlX2e5nzSEZQvfopwvHzo4L2/2RW8LbKi
YO3TRVFfBeMWAEELeiFOld+e+Nq47RtbQMZbRw0HLrl7BRcAFjMaMlif8Kw8Oi2LUoZOlDVhdcps
ZHq+Lj1gebb217X2SpcF/wJj35uPdjA/WGYLMEuM60/FacBBnavnCtj4OV3bK6cgCTZEptQjN8/x
lw67fM9iHJBJ6H35/cT9CVvOYZ3slKj0MLzYs2sfQIOzfs4qdlTQap2/Mg+TcQMALrzXJny9EusO
ija8m5OZQK/xllyD7KE9ILLznAgDGV66rWwJCCttRRyOCTwzlwf5tpgaict8TinLYDfI/Vh5ZkKB
HCyF/VAsYYHsLcvjmpOWswqnOs181C5BwK6Ba6Bz1tn13pR3enjHYYNg7jbBHw/WYEO0wJF3Tl0F
j7An/EOhVGNunC6hYWI2UPr4wMTJYDYPssDXJas1d7Z1Sbe7cFX3IhrKryfN299yGXyvyTHV0cTm
AinSSyn18gv/tilD9rc5AsMWpnq78XrVfao+dDerkuoZg8LwBxtNd+8pb75hjbaQ9iuL9HZwBx/Y
qJ/tJ1fkQ2RUnU0vsGv52HHsgjWLruYXvI6UoRB5Sv8mmczu6sSwL2T+AczTWoZ+N3XK5AAlivWB
uczf+qMMngwHfxgPgCT98NliAHPPx/nT8DLjs9QOLp5CFfMrdTHePguw6dLFbJ9AO5S//H37eyzT
tFasGnj52i0D4xlVHaDb+0A9h7DHJNLfxFXcTvMA1rC7LKw/+mBHO930upKs3vmyqb+Qxxk1uoGc
W6SGBEQZSHJiFpa00z1v1XQx05QCU6y4/UPe44xlfPHKAmxPxZPKamdVUTee9TlkOEO3e60ABx67
nptozP4dw1llZubt0HXOm+VPYxpZAxCBXT7WIyUvfcAWmutfcM6pMak3rTMPKh5JJGabYBUrRmNL
enQBLFP/Mam8xymYZ6Ld5GuV3MCUsVHWSFcf+YSE9DZYuaIpxudQg59hgnj2ef2HQMMcT+tCH6y5
rl4dJ5OPoKuHMuq5Dz0Wi0N3DHuXjYFr4JwjPdyZAJX+EjQIKlZPA5Y3zt1ro4bFjT8qg959AjGW
Z+iBjAQs2oaMtWvO9Tk2Da4w9wR3R3KFo+sc/MpqqaUpnY5g5tgEJDg5KsYbKx+6BP50naY4MFt/
75kqeKwqq5PxGk7BivDLzpCWTJqAG5KiL6FrLF95YIifIKi0PrQ4XlA++15phlXQRZHEtdJtqqLo
4P8rzNn4bn4tKJWPamUVsYSdSblRPmCqotBwu/pt/6ADWEg9uIyLiQqKYMHUVsRUOVrbMCNMGghd
BmzEhuQrnKT1KBpGjC1Tb2hs+jp0q+3ceZCcgN0Zv5WmltjvdY/EwT88Wklh7qjjnLe9b/M1cTiX
Yz7Z2tzKQrRfdig76x60bbVNRuLN/N9834qqWzZN105WJDBJY4LqewtRR2b3CeiKo10G6V1JAVIP
MBLhmxuQJVdgWRMlaj5/ZPpSoHWyn4fF9tpNfjDEMkyq3xY7/mNvVyw1K0HBTIXEQnWHsca+nnmT
+xnYmN2rrZfA2tvQPgOEFPOViNMGDL1eBZ/FLi/dyGXV8pVVRn8u55W95WzCMjOUGf4ujp/gqjRq
f77BzGc8j8bInxJk7OXoar4iMrlzXulnOjlh5ISSfhV1mVXM9JGTm3I928oxGyVtAypPlB3grNbe
C6SIzSh9am45Q7ZpzzbVs7JyJmMN+dopsgKqtq+3IYkd0k6DvuEv7ZyweYh35gC5ZSnZ7EoTtZIv
TYUAOyEDRSHm+w0+Dfb0RakfW0djs6htgBVY2XFmN1LkD77ABofXFY6BSzP1+dp5s2WCS7aWl3wz
p4Z7wXdy22oFpiYM00/suOp7ubpsIiM3k6sHsaS2ovUf0tUcZrTomkKn1qj2q0GCCJ7S/DzPyf2S
ofcQGM8egEvxvbQQMjDhuvMpoLfq4HRVeva8ruR19/JTkFUh6Rg/dymOFdab7LE4Y9dvveuEThlZ
Juh+jnzHIQarEEb+kPgT3y6PmEPOWLot+eIMN5hmNB8im8txP9bMrkZeqDiFh35sW80QLeq8fW5T
Jl5GOO/e82bnyVlbkOLeYNy3g4tsiW9giVKE+GdpEOPBDGNZRy8Ngi11TtkzX73kIyORyKONxgUe
j/RwR1CeMUJXjahvm6WjHyfJvHti6KwjJT1HObYDUd64hq3JlGX2bW6tQFwTWDB3fSVTiEiiNuJM
aPqI63QZYlpW1NNiVfmLrvR4j1PX/cN31ySJ1Yd/Jb7AXU8JGa5Ka8mMyJgc881SLVO9iXfelV5x
4wuBqilGdhm14nmVa4rWIo20cET0zGLd1DUxd4k/JDRm9C+PQvvKmc9GxT+29PlDosRoyPara17K
hVP21nPUZfw2UEdCmFd0F5nuBCswe2aN0X7R6FB0107eTmIU3GS2NdO2YphgTZhc3I3jZ82zWZvE
l0nI3beO9etzGeRUliV1GRgtFI21s/96PT63Y1kGzSM41unV41DmvVwlq3k9tuqnRLfe/A8u5xXF
wHZ1sBeXiabq5zkW3jWzsC6Z+z+ZO7fetm0ojn8VIw97FETqjiEFumVY2i5tgWXYM2sJiRpfClne
kH76/ShSjigraRKmnfQW2zkkjw7PnX9++IpJ2YMu/JmTP98l1fgdzh4PsLZ/G8NrH3CkNb72x229
aS+3z/tRD3oxTehxkNwRfdjjRGQ3qQ4Q/CEaK9XW7b6sTk+kxtsOac4GMsY8J4vVdnNlv6Z1MM4y
sO8LGXYPDYIkPgc8uo8LDy/wGK38mM5DC6i6N/OmPD2hZ3GMcvJUHnA1ZJYkiciLSR5kRVCkCYdt
4UL3mBPkM+IByWNBCtjJSD+VCTIKcr1IEsuuBGRBQYMouWkrH2agH7/6JWmLtgHn/qreOsfzCcwe
t/YRhcEmIGmeSProcivlZLsHmwABIO9Pvgqcme4xm+7Hs0CV6xqA5F3b1MvWqS/QpSuOkA2eKgJC
Binrk7T/O+svJFenCpmC2mJlYHZKAB8TvCuKF357AGVYRBG+mTAv2pWDIg1ECKoChSDzzE8Zwgcm
+Mj9MBKnwX4Ar4KmpVgUriBkEQwIYwmQi+EPX8/MGqRS+JpEEQf0tMcyBkate7gfYqgNkII0KwSA
HUYKZmcO+qs6fBkhhe7zz7nve5IRuQS6RIBOH7JN5iUGumzpqwtSbEKMLsAtMI8jBVonsnQ8htlK
QYfkFiO8fjoxDOw+yCd3g7YNfMG933MTgqwIuaQFAByv9eMcYvwlHTuTcpDFAQdWqH5L8H3083+5
RyNlfucgazbIyGxRGjCuqu0h5nhKnIBvQKITPAqzzAKne6gUBZYzI0+RWDbMzkUSUaJvg/eSBVkE
gB1iFXnJw8WjKuJQcjTDbpHZ+QUIaOjrFABilceSKEjyboerTwKwRvOwCMGc0s/sFAG+oQbD9LYI
+AVRTCAwcIMHfCgIoEDnBqfI8sGEpTOKEmKRS98tIEA5wx3IwT6bNAfaReZgoLSh8vzUIeiQka9N
4C4yWsHAPu3jxZGHmAU0ikkRsSu6Z3b6AOfVbtPnW4QoChL8YI6VCrPvRxYh0cESx0T7r+fHBHuj
nW/6iMxJCgA3N9NZV5AwdKAX8gQ+0UBI/Gz4NL+gSbcQ+ppGpCEC7yZJpt1EUBPpCqff1grLHI0E
B6ELX/2IMHCgmvxB5EpBl0NJQ1mAdt49c2SAtpLeDNDYzyJHM06qhSLmGkfkJLNiEs7OUZQpZ9E9
d4MQQV5ICpSUDbtnZCCKgB4YmeEyHr6eVwCNtkp9M8owgaQcCaPc3QogqMZhRsHBFi9m5CEx3Tyi
XdjXVxZZgHxrgPPR0osgDAudUbFagK/n9eLxlbUafAFzkMXEisTNjjEsRJDFWsv0ntPswmU8fA0i
7xcnpsY/FDaNHLrbPw/xCFJC5d5hmJ8tuOey36dWFDTwMSoQZZIaq3e0HdACnLjuUytPkIZHaI1D
tRZ8xVXZ1Wnraje4LfmbP+iLmMcEbHGyq0BSf3J+eHn7pTKkTRZG//3Kyc90BdTBl31BtRvH/rtd
4PHQzlj9qvoPz+uqUc0SoL+uQmqnqfG5T09eb8rrRi0+NqqsdtfD+pEpot5N6PTEme5gOzxIf7dT
6yFZk4b1JXsftk23QM2s5832XDW3aqOG87U5It8Jn9drteRqjUlOm/DTd4i3ar3eL35S6y8/L94p
ruqrG2chJr7zHeWdajY0Oty4TDIlFm/ayOlqRDjW9SZfwn+om921Kv+tqi89sW6X6oNS/QfPl5oL
VV7fTu8hE0X5Tv9DWTP9fqJ65iAZ6WDdl/DHfblfXldNc9vT6ogbb9ef+Oaz+uQS7lKOvoQfBOT3
1AB/1jc3taOwbEeN76Qv1bpeLd6rcj/kiPWpfYn/1baqmVIt1nPxpf93tWsXv1SbK7VyZm96THyp
XyiAylBYbePIuE1N+lL/ff8Z6u1w3ofyhzftrTPjQ3XJly5WWa3VZqE25eJ9vdx+4u2+2a34c+eu
w7Z4eI8HAPP95unQSOE7zEX9dQtS4XAJNrYgw+BL/LLhHIQrQXeBiy/xM1XiJXWvQ13xMs7VP9Wq
7ifd2ZJDm4XvWO8ZQb/qEXWbiPGlfqE2mk8TxInvvIl/4/owT+V8Vq2ux0yHLTG5e9+Znx32G125
PTn7XvUQov/s+W7Cr1whU9ZIj+tmm5L8CxhzABFU29a7oxFs4PYC77ezM5xjH0vnXWjo+x7eYgru
pU/ewJf+ZcXWuhr7+HcpHl/6jz3n77sTJvXR4jX24l5JJvnCYaecuictnZSqhPymUE/Fm4dO3+Mo
tO/gnfo3N8TWv1iuKtW8+g8AAP//</cx:binary>
              </cx:geoCache>
            </cx:geography>
          </cx:layoutPr>
          <cx:valueColors>
            <cx:minColor>
              <a:schemeClr val="accent5">
                <a:lumMod val="20000"/>
                <a:lumOff val="80000"/>
              </a:schemeClr>
            </cx:minColor>
            <cx:maxColor>
              <a:schemeClr val="accent5">
                <a:lumMod val="75000"/>
              </a:schemeClr>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E7A866BE-84B7-47CE-9AFB-6F6F6824C272}">
          <cx:tx>
            <cx:txData>
              <cx:f>_xlchart.v5.6</cx:f>
              <cx:v>Average GER</cx:v>
            </cx:txData>
          </cx:tx>
          <cx:dataLabels>
            <cx:txPr>
              <a:bodyPr spcFirstLastPara="1" vertOverflow="ellipsis" horzOverflow="overflow" wrap="square" lIns="0" tIns="0" rIns="0" bIns="0" anchor="ctr" anchorCtr="1"/>
              <a:lstStyle/>
              <a:p>
                <a:pPr algn="ctr" rtl="0">
                  <a:defRPr sz="700" b="0">
                    <a:solidFill>
                      <a:sysClr val="windowText" lastClr="000000"/>
                    </a:solidFill>
                  </a:defRPr>
                </a:pPr>
                <a:endParaRPr lang="en-US" sz="700" b="0" i="0" u="none" strike="noStrike" baseline="0">
                  <a:solidFill>
                    <a:sysClr val="windowText" lastClr="000000"/>
                  </a:solidFill>
                  <a:latin typeface="Calibri" panose="020F0502020204030204"/>
                </a:endParaRPr>
              </a:p>
            </cx:txPr>
            <cx:visibility seriesName="0" categoryName="0" value="1"/>
          </cx:dataLabels>
          <cx:dataId val="0"/>
          <cx:layoutPr>
            <cx:geography cultureLanguage="en-US" cultureRegion="IN" attribution="Powered by Bing">
              <cx:geoCache provider="{E9337A44-BEBE-4D9F-B70C-5C5E7DAFC167}">
                <cx:binary>1H3ZcttItu2vOPxwnw5UQM7Z99SJ6ARJaLYsyeXhBUFrwDwlkJi+/mxakkuEqZIKpb5xxejoCotE
cmOvXHtO8L+v+n9dpTdr/a7P0rz+11X/+/uwacp//fZbfRXeZOt6L4uudFEXt83eVZH9VtzeRlc3
v13rdRflwW/IdshvV+FaNzf9+//5b1gtuCmOi6t1ExX5R3Ojh/Ob2qRN/Rfv7Xzr3fo6i/JFVDc6
umqc39//O79eZ+v83f9ZZ+X/fXcaXRXfQeqDOl3n1/X7dzd5EzXD5VDe/P5+69L3736bfsEvwrxL
Qd7GXMO1Dtpjtm0jYZP379IiD+7/LtGewA5iAtvy7vXwnafrDK57EA+k+TvC/RBtfX2tb+oabvnH
f59ZbOvu4LOn799dFSZvNqoOQOu/vz/Ir6P1+3dRXbh3b7jF5tYO4JOgi9+2QfrlD6CdyUce4ThV
5XNv/QpjXa+zB9X9c7gQ28OUYCEd8ROWCWqIU2lLfPc2fvjqe9Sek+YJfO4umyJx8baQ0CZfA3XT
d2d6fX1Thw+qeQVU+B6VGFChDnBpQ6dtLrE9x+aYswcqsYevvkfl70j2BEK/LjFF6/yforXNo0c2
BIk9zDf7zdmYEng527dP9iiFd/mP/9987k3e/sRI/IfNRn4d6vXr71SH7gEMFKzHw17cgorLPcko
cagkG5yknNqPF4v1xDadXD/do2f/dI/+PwXpzOTx+vvDZv7nZgTbe4IgUD7i26jQPeIwYUv7B8t+
QeV5OXaj8XDdBIUz9aZQcEOIQaJgrV/RoAMSHEnwtGKnReNsjwubOpzeAwKx011AdmfQXybSblAe
XzsBxt1/U8CoCOLkB8X8c3Yguse4FNSheJeXEfC2LRkjEj185x0Yz4qxG4f7yyYQqPM3BYEbhuum
ierXZQdy9hBjgkiKdiKB9mziQBi6CYO2afEyaXYDsn0vE1zcyzeFy/E6qcP1dXdzUz6o6J8TxAFY
OAPPLcS2+yCAB5JMcPrwZXfMeKEUu+HYuniCxvHiTaGxWEN6/+5HJrsGprzbX7c3afSgq38ODLL3
HCQRceR2js0x5AUADeX3PJq4kb8v126onlpngtpTH3tD2fbiR8lkg+QiMq8KILmDSOwyeHxTK9mk
PWISLr9YnKdw2xSAft7NL3BtvfuGUDqEuCDZRG2viBDeY5QBy8R94WPbBEJwQBlxMNSz7vKaCdNe
JNFukB5dOgHo8G2Fa/trPaxzqKO9VmkRyT1HCjB64HYe1aggeMbERsQm92SaVENeIMduJH5eOMFh
/23FbIubNHxN5yP2GMFY2mx3KsP3HIcSDnH1HTMmaDwrzW4s7i+bILE4flNxwZm5NtAU0Hp4PVJA
kCYkchjCO2NnKMBwJhAHevz0NI9D6JeJtBuTx9dOgDn7+qaA8YpXNFNQEsMMIyzRzpI6h+iZIiYZ
QncEmQTRz8iyG4ofF00w8P79tjAw8Vqvm9djBoJOlIS8kj5UJuW223Cgxs5tiuk9DlAje8wM73l5
nsDi4cIpHodvCo/9KPsPdTewsycRppDx7zZZfA9hhhwMFcofr4kH+TuC7Ubo1xUmUO2/rbrx4TrL
zH1j92hdh1mkH/byP082MYZQl0tK7XuHPqER3fSiGAQDu/3935RtN2A7F5lgdnj0puh1tNb5ulkn
r+l4yB53IP0n97nlpG0GcbIDQEK5c3cv90US7cbn0aUTVI7elhM6utHr9DUhsfcI1M8455Agbucs
xBYIUsj7IHpS2XxejieAuJd/isLbipNP1tfh8B9oViIwZVhAl4XuLruIPSSEZBjfm7JJ9eXlYu0G
Z3r9BKSTt+V0TtZQdQFn0+jX5IvcI9AEEBhGTn68nCltHFtIjO67yXISO79QpqfgeXRDU2zeVunl
ZJ1HpXnFIACBa8GEQV7zEExv4SLxnoBWGocO5l1OAzHC41j6BfI8hcn9jUzxeFtDWyc3AcwJrYdX
ZAp0LyF1gRIkv/fm22GZ3PRuIPPnNtuNyEskegKTPy+dovK23MwpNGc2048Pe/Wfx8owTWczR0Be
szNWlmSPMPA/0Ou/e01SzpcItBuTP6+cQHL6tiA5icZCv+p8I97DNtglG28X8H+MozIbSXv3YNIL
BNmNxM8LJ0CcfHtT6cmH6wgayq/IDHuPOtgmBDz73WvLgQhgBhIwiAozST9eE8f+vDi70Xi4bgLG
h7dVwT9fx+u6gQbXK+LB9qggUKUEv70DD+gkC0j4ERirnXi8SKLdkDy6dILK+dsqkF1ESRK95ig2
DP2CtrGNdsZYQuwRDkNkMI90B8mkLPa8OLvxeLhuAsbF2yqnXK6zKH13ur42r8cRaK3YDoOJiun8
CyBhc4CJTvz3y4TYDcPjaydQXL6tYPfyBoKq4FU7vw7fg5CJUTilsOU2oLtl23IzOHbvxeHtx3nH
i0R5Ao8/72IKh/emPPml3qSCr+nK8R4n0FSBDtcWGJBycII4lO3vDdTEh79AkCegeLiDKRBvy4t/
ahqYBXv9syLsrpvi3B8VmVR9BQRejEGT62GQZVLUerFUu7GZXD5B6NPbKmn9uJn1K08Sweg3zAnZ
0Ii8z8R/MWHgSDAMGt3HYRPWvFCmv0Dn4Yam2LwtB//5pm7eqRtwLOmDjX+FfH0T5sLpFJuDJ39U
nhd8T3Lo0ZOH2soElBcKsxuUrYsnoHxW/1/7lt0zgXce9w6NrU/8zaOj0LAHOwVT3g8OBG2BAs4e
6o+M25jeBcCT6Ov+1ObT0uyG4/6yLcH/w0dAJ4eKHp0B/XmydgG9weWPI7kvfvfH7cHp4cml9wHR
TrLc6erg+vf34NFhoks4CKaKKTTnHQSV958HfzdLbgVWu0d73/17Myi7a2T2ya+4gcQWvh3voc2M
knQI9Jk5iPH+XQeEh3fgCBMHglI47gjlA7YJxfNCN+Hv72EKmhM4UizhDRAbDmu8f1cX5v4tKDXA
0Q0HbmezpPh5tvqsSIegyH8q+v7f73KTnRVR3tRwhBkD3cu7z90LLgSGpqqDHbaZrpYgRHm1PocD
3JuP/1flx10csJEs/e6TGYoTeemsglWIXR2pyHdF7EZ0Zdfn+FPeK2ncMf5UV9Eqyj77fbOIfMsV
LXHtJPsm/XaRhPthVitjrbjQXlsK5dfZQSi+Dz1ZhGUQKxN9Nt03FDVLa9BM2eMFLi3VoeEDDvUK
W4eluNW9m+777LJFp8F1mKcqp8dDk6i8Oym0cX12m+XMTTRSoaUihx3QuMmUtJ3TNssXQ2e5aTh4
GUtixXrj9iReUcuzWaxXsdMEbmHS0z78lstRsbz7bsv8U93YH7NqDBdRwIWieCiXNY9dkl816Qcm
2kaZNmmUE9cKB51Kw0rpQXUcnTlxfBGk4wHGemUPaN8i2WFis9Rl2THundity/JDbXSiqkAvjGUt
WWyfpU6q+jKOlYWLG2pI7uYV+WrHlgcwLdsiWBYyULHfrUidrAYyuLrpFzHTizSpT3DUnDUMnzo+
vko4O+sLkLUbBqpKB/3RR8OnwhpXKJPLgJBYxYI4KmQ8U6yFVYMwOguy0qhK1rUiIjqt6s6N+5NH
tNm1txyIv7b3FvAOskmbOw4nMEgx2VtJa9d9VFhy2Y/ZJ91YhUtIfda3dD/s2BKaZdUi5eywSXIv
LT/QrPeoQ46aTJjFYONWZXWbK9+XByxK9xPLXkWmW+k48ZXx8Rlui1Xf0wtMqFZxXC8qHB1V+ZFt
iKfL/MgZVo4llvlQqjIaP9I03Be8W2pHnjYAYTlEt0TTc5p8tUDNvqFupLNVECerwAldrZtF1eFF
EdfHQvIF6otFoK39crTPNNWrFpOzwZbHjAQn/WCU7DMvC5vLuPRd2JLeKA+J843RVsWjOazYeGoX
Xa6sIqgU532oJOzKZMhXZRsdi/yEV6ln+VrRTHzPmmE/Te39oKsD4FJtu4kZj8e+WQrhr4eSrorc
qAwWVMaOamU5wyGYi88IBadxfom0PtE+2a+d7jLvv40x7Y9KNBRunDv8a+Vjo6ww/WLFeBmWjsdi
2CIdIyuHyf0K62u7BxnbbPgQDMZXwi/oQjbYHFVdpUo2QjX4p3XdsU0QjAv8skvgTDSGWgRkV5KA
73tsgcbCFonucn/JiuQmsMxnH9Tna+dbpUN3bPWhw/V55Seno2k/BLU+iLv+NIqIcpK6WjUVP06o
jBdxXR7oUX4IUQa2qzmvhcwXYZOcxWF7W9L8md0Nc8ETuRlYbtjfYMDBwUDv1t6Wuy6rtGyd2F9W
XHMVI3zoJyAwLdzejKnSKVV+GgqvAbtYBmzfysBIVY5ZI77qy9yrwnRQ3Bqp0lU3uiXnsGcDtCxQ
tM9NjBRi6ekQtRdgWD2c9mdRbC5Ky/k04mCRaXQd0P4iI7XysWgWRagb5UcJfDFrimUvBJjGFt3a
JjQqaBrrGGddA5uxbFRadudh2551whyVzA9UxPKTsPXjFQT63yo+Ogon7SVz0g9tSkZlaHmbW3G4
pLi87BrrVoY4dUXEbpmVXtQs/pKNkafbOl1R57ZMIy/sA1fmIEFQHeiaqFFItwnpH13meFh0UnH9
vQutgyESqsi6Ze2owO5cuw3dKKGf8xKpLgr3id8vM9qc2FZ0VjfgPUobLWIh9y0nT1RozOdYN58q
G4EdJ1/GpPoURP0Hg/Jx0ZrGHa1mH8eVWwX2Pq3yCxp2+3YwqryJr3y7vEjD5tAgvGAI+B7TBYvF
WZDbB0XZnXVELFAqLjIHtcpkbGFsuZSOdKOAroLQXgH0x7aTLru2Ay8TfU77ar/lZtnw0qXDiV0c
N/64rAe6amTqpjxSTv0lHi98ht0kEovQHMkyOYhz/7MGFXoDDyI39p1VlWeeSMZl2OWZ0ri5TcLQ
7Rt2ZmyyqHT8tcrGRsk6zvcRSm13xKRSMePN5zjjH4sAa2VV1SLXXadk2Z5FNL6qUtIqC91GIjvw
LfmZ1KnyreJaBNaqNGOuisI/zoGGSrbFWVMl+2ikq7goL7KOnSdBfETQ0C1Gn6lqpINrpQ5c3yxk
YVZ13C38oM7BM32JUbeP+34/M6FUSR5lym+yTzjMvwQ1Pe41/iNtRKEo+0LH6rLPTLOEXX1Q+fx2
RPjINyFbdrVhKnWCo6FnXJlmGBY6EOmSkvE4CcBrseJDVkF4wbW9JvWYLlGnzws8rJMqzFVimi92
ikPl5KxwIzmcadJ8akdx2PIyVNiOllZykCD6B+NO7jZO76IwvnRq9sUgc2T3/fesH6Wy8nThpHjf
6vpFb9tnGQsWCfX/yJpOCZ24mshzZqyTIPk6VqMqhHGlH57WbfQRZ+NygN1O4vJ2jJAaQGN9Ly/6
AX9GVeQVzXignerct763ibiVo/2tD3oVoH7lGHkVE7SIMt66AaXnvrzJOLgMuSTWqRanpXNK8Yfc
nMdtdKatbGFwqRg+bwekmlh8yvraTSDqKMbGzRlWbdkvUHyTRIOXd2KZ1F+4vOxoqKKeKJzeyihc
OOirCS54kHlMaCXIRyvTKqi788Ig2C7WSWyf9ygqVTge236q+EBUAz4qYuRA8xUl2TKJEiVjBv7h
g9NdSVq6GcdfGiMUG4DXCfoi5FnWdy5PP9qBiRTYys+VjxLXRHQRRN+7ul5l5raPCzcr5fce43Ql
2/q7VbL9SAf7SeRct13cuEaGmUoKuRiqJFBUdgs0VKqRhTiIw4Qrq5X1QgTZH9FgBcseDeTa0shR
whKLAnOx6orxiOr8Mgwqvhhj51Im1tdiGD4XyXg59vHZ6DfcbUsduTjH5CBoknSZpyJfcpabRdvl
kHCNnhj5fmPVisHIqmsLCKeCsL+wSBUobZfLziYqi7t1wyAcdvQB63zHNU2uRsa/Z217KLvwRgzm
UuZl6VYx2o/jIVgUNYQm0s+Spc/tWCHLX8Rtc5niEUK7bAmB+nFR4tvETt3Y8YKGHRJSLJxCnyRd
CdaXnIQVPR2GxhO4Qgvi42ClyRAq0lFr0VUyWjRUW25NZLNME2tQ/xWOPkq5gTCtpPIsQbGtIAK7
jOzsix6DXGVFmMBu8M9x6ByCbqKlL4dWodIfVMF54/LcGGVbAr4kYxc/ooP7NPE+PLjLWK6KctBR
EN4/EOrnP//nssjgfz+ePPTnH7f/+ecTRjb53M+nFE3yxbvnTT2RTP7lm1uZ5lY+/VCx2WRTziYC
/hn7/JJZbmXxPz9/lyZKDs+tcDimFGaRYJSVQcZ3lyYyAUfD4MQRPERBwlyljSF7vU8TMd+D8g70
DhiMwmBoP0NodZ8mwlMXmA01HsERh0lMCSf9H+57S+mQVO+I0bZDNAs5BOJ3GC3c/P1Rclj7vV8k
kWT7obOQ9EPdQpvz5/3/jXU3odWjdSWKWlanPV82NExDNY7AvhCx/u4pVXcP1/kby0PK/Xj5mFvJ
0PU5X4a60vq8Y6MdXAb9WNz+tfjQliz/zJ3/VAsg8nh9mY2JMInPlhLRevwIxJS2CnFMHWUTO0OK
4KrxV3/9ZU9hMA0zAfu4C3K27GsssBI2DrQqBiaeicM3YfaOm+Gw8R7fDJeVXcZyYEvjlOTEcTqS
XXR2bLPjQTR571l8ZFplQ1Wez7ohPskKS2GXLd98YZtK3h8WofGNS2oTRsu//oKN5LvuaJJQiGjs
7MZguuySmneHbMA+csukRuExTcIYnTgmMYlb1VU+cGWnxKlWdh62ev+vv9/ZQLNLgM2+ebS9S57V
CYXIb2mCoK1cgYTHMQTGCa66TRmgazNlBm4dF13gJEuDikJAahgIlMHM0wyCbZ5m8FiCNBiyNqUd
qEAg6mJd3HLaRc/c3xM7cjP//XjxApjaiaGhy2Go+Re7GArltyb+ME/0iW1IRRyxGmu6THAU3djw
+MHj3IoS485bfmIbCqujZRVSukwb3v7hdBVRvT/yeZaHTyyDTru4LFFFlw0UYMal3VutXrCyKPhM
8SfWAPWBI4Y0BmtQEBO7A2MQxlUVUGkxSz8bP/QYXBQPVl7UpeXlxQCVpRpmqRqIeSHpm7f+hP21
sI3d9VR4YwHxzBAQS6s+Smr9jIK265o/bTObkF8WCUkNGnyvsMSYrTrtlO0y7QYnWlRRSOTMr5lQ
HJPCF11pca9pDGr2IdXI7eWYO2m/LKOm6+dRjU14XBUtlGv6THglguA00UP4IYfnmlz+NRZP6WpC
5C7phdNB2OEhq4+Waa05Pg7IUFSfEyqS/hlVbVbbYQ0Z3t5RoQjKRPBSeDolw4GVjfYHGTg6VX99
E08tPyW0Hw02KId5hleoV3bck69sLMrlvOUnjDYtL2DmlTGvTQGBJg2yJTEWL2dKP+GziXA+pEMs
PFK3CWAwiN5StT1E47wvoBM+J9KilexB+9LJqvygdGgONdCYj93ZLAXRCaE5GnDtWD3zZB1Gf3BR
Q4UXyj7DM/JvCLVj92zmkh7bo0y2HY1NwL0srSv/nGdZZf7A1Sjtw8YKJf8ILRHMDubdy4TVfNDw
cAAo+3klJk2034y4lypMss6ex2c64TNU5ivWIM29pA5KclBnqBUqNkQ/55s3Wt+lrgmlhyAO7KyD
/VT5Q6kXcYA5P8ussWWHQbNJK/sADfmXNBP4m8mDLn9Gc0/FPHTC8rQPfF6MHdjdVKTlYWjVPofI
PpEQ1ommi0mzKbuNrRuFrMxWST8GfMFIh4uL1m6YmangiTUYfGZxkVi+l3HLLHDUcU/wFD+zGZ0N
63epd2INaNv0UYUq6WF71MVydPy2WVJ/HNP9UmIOJfM6K25Li3TZPhlFTk+hkIHyE8SFiL8IqDrR
Z0R5wuzRieEQeUzLoouIV3K/xi4b5U3Z9101z2iTidlINWbO0Mfc01bZQZ3BIakKsAiuZxGNTIwG
FESYiOOAeEHZi68UXOlpbVvZPJs97ShUOMhjy+LSoylkMq5xRAZF7EgP9TO77AmWkYmdqKNqoKjX
UNsfOh8dCKK1/b0vHWBciEK7UHlkykyhkZXBVZmNNZoJy8R+4A7qUAnSDAp1fmZUWaE6U4Mh1kx3
QSb2YyRQRDdM86WpqLNkQxssRlZYi3mwT4wE86Wdx1U/erUJGm/MOTRodRk/Y4OeoASZcB/GXUOr
B9fgxSjKXNQ48cIfCjRzU02oD1lPIZyoGD0EeaOyQ+dzHpDnotanRJ+w2WFlTvo0GL2AD82JGXKo
UqdVCHXcWYrfjDc+9qJhbJoS62GEFmMmD1DbJwvoGhFv3uoTNuOypWWTwOqNj4jbYV6rOnOimbJP
IgCRo1G0HGC1GujTJNi0iiWczLOjeELl2La03fn16FVOlK5qmQduC52G1V9rZsPLHf7ix/TFo0pA
7tNwHB2r8zqL3kDambQr0iTQ/Gs6zmbewYSyuOVtDj3xzsNA3HPZFPHSIUUyLx3/0QV9dAdNDqFQ
N7LOKwhlB/BYb7OIh3ymucETyjpNlvpijI0X1Ck5itKMn5R9OlP0CWPBUftJ4uDGqwroq7maotrl
YZ+E86wZnpCWQtMrsUYo85R51B8mTdAcG99P55EKTSgL9VGrdUzcrLSBOYAL3Nki/UC1YOG8fYMm
rE2cqK2CFvUQEprRTUr6dZAwj/DXG/8Jg7Z5SvNjg0NjKyEwrNAuqzSEbnJtEEybSDNT9AlpcQkt
Mj8WLWje+qoRxHe57P15sKKJj03KUVtWze5FJ6hCirZsruhTtlLhGxE67VJ2UDRGm9Xr+YqZONjE
bks/rWH1Ppaha0RiFGMonqn2CVtDQkUBZ0dgdYJuqoikqwDGpeaZ+c2Q3uMdk8CPkIgogMXlaDIv
5VJD5sX6ebEBmnC1bzD30yFpl7TxO9U7LVJO6TfzZHcmXM3CEuUFts0yb6GX3oXRjYlhiGIWlTbn
RB4rph51UxZhZ5ZZEhLFCP1qtTWaufiEp7ZPNR5Cq1nyys4XMK61rs1Yz1x8QtOqln0MkbBZxkyG
isVRqoxGfObqE55yHFtBZEEbk0vjnNTQHjnzeZDOa1E5E572hqCcwMre6MBP4KgxF4wurMYS9cw9
M6EqqnqZmTJovYFkOYxs4JJ6ZYeaq3m7Bm3vGifykS5gwMIL/Do9lHHtLOokHuYFwz/y40dRgdF+
iYOBGq+R+JsTo481wR/nCT5laj3E2TBYjReF1imYx68D4jNrhZux2sdUkhGMVTg5b7y4C8XChPSy
SPxiHqAwmLu1eJ7UlpbCGM+KmshNY37MUWXP2+z2hKfQFu7KuhcWDCL019HgfEY0g1MQM3pF9oSl
IuoCC/z14MGydaNGVIdMDTUO5plee8LTNqAmTIhuPDglYn8hDdgBVUejMy/S2Pw202NMTZUiO/UL
42WFHhdFz7+HUenPVPuEpL6IKt5G2nh00IObZSWInjzXed1IuCM52DwC/rHkMmckKmEq0IOhcHki
6sA5SS2//DwP1ok/RQ1qNPyAFmzH0Iexp6z7wkU0E9IJR0dSyNgPE+Np2mLliP5rWomzOXLD4cdt
rZCO9F2EYW0rri+JGU4oqZ+b3dypcHh41fbSRef7QYODZmnDUJNrxf5xNNrz6gNEThjqOGXJRwvB
eLctP2QD/yr0kM4yLUROKGqFEKfrAnSShjlM+BUrPwtnWXI4brqtE1J2A+6hgL8sxnZfd+iI0Fke
lGyGUx5v73KgDStKyO1YFhyLovdy7c9qs5LNT+88XjpKmx6GP0HoMvs0tsaN+R/zNt+EkqmMdTkm
ACIJk++6lx/FyGbZKTi/sS2zqdqkHzrWeEMNM2fj0CAvNrhezBN8wkic+30eR7LxagtGCVCe7Etf
fpm1tpgwMkmjmsLT+awljSC6tWy2BkTmOTbICbfVAhu7qlIbXHIYsV7RmlgL+Hmsdh5xxISUom55
Q2hrLSt2oYuFgCr2PJ1MGBkGYUWqEMbsjIBhjg7XpXIqdjlv8QknO+h3DUPu10snLPe7FHr7FY6b
eTtlOtOljbETK4XFRUrPsCmvIjLomVqZ8BIebz7YlZD1Umf4jMLavWnnrj2hptNFHMN5GigbI2wf
GxHEhxXp2UytTNgZ1qRNIZ6FjUJHpkY7/pSycFaABY9y397ivTSkSyQwv8dDE7s28VmxQBABRfNM
y3SEq+wyGJSPgUMBKddW136G5sOnWVtxOqzVYmxrhkEvxgR0UZkkUhieyT0rjoBngGxrRocth3p0
D4L3/Zkp7MO+rWYylE8YCrPwNuEhrmGWHp+kMHC4hGdZopkanzDUBBpmLk3beHaZfiQWDOPqcF6Q
Mp2u0tTKhwBntYcQRS4cmNCuQ+LbeXBOCDpAR6EWWVPDNAP7GtT9YcTpxbylJ/zsdeMnAlnaG5wU
DsgVvFrlWTxvDINMB6sK2uWyhVkhD1pI4yIfi1OO6+dmDAhst18DccInBDUlqpPQ6bRXwKxNquCw
nnVktfZwPksz05GqzsJgFYkBRNvhuoYIrq/F93lLT7xnA44nLFlRewkLzvuyPLCzbN4+nA5Stb5I
WJwS7Y1tFS7bLkALK82v5sk9IWc0Er/WfVJ7MizdhAynmXgu7NxQcAeY05GpDob907bk2guzlhql
OYtPKlb2qouRGdx58m920qP6B03yPk8Kqr00wt/SkHy2yuRy3tITivYw8Zgy7mvgf1vvt7V2lNOS
ea06wiYsDVBII40RCE6cz1lr5YpY5R/zJJ/60L4qE22HtUdRRLrliA2cE8lFGibznDSb8JSEQSCM
SGFL9tbHKEOXUTUvF4cDfduAphGtIGGGpf1Bfmzs6IOP2aw2FNTIJ0uLwc+qdtAe9jPkWQI1H52g
i2ZN+pLpfBTirU3bCHaib4+DGnTlYTJzOg0afNuiZz2c8errUHt5W9rKbvmq6oJ51WE4yr69eKOJ
MUSCysE8HsHxpaOU9vM4RCf0lF2QmhiOW3vchwMsfByOpI7m9c3IdNJJwi6xe5RozynaM+xUx9pu
Zso9YaeOoDvBOqvyaiY+R47+mCbVvCSOTsjp9yRLgjLWHgPNKAlD6KoaMjHPHk6nkRo4ZWnFhayg
bxNWrkbJRzhPNC8EnY4i2TbkWTm1Ky+IcAYnlaFQsTS2xeYpZjqKFMcSptLiAXgjh8wVhrHzNLLH
eYhOR5HamDIfZu0qOA+ukevU5BQ86bzuOTwVYptBxspFQfsCtkshiQ3PRxAD/JaiErJN5tVwNj9P
9djPwSywLYM+B90HYcfdHIpnnu+Tal4fgUzHjYbEGKEzv/SEVSeV23Zldmsk72YmjWTiTJ0M2aST
VunpcKgXWcBiBRqiq1kObzpwBMf4e2G3dumZlCHXZjDEDj98PtM+kgljmxQm8Gqcl15NeACPnhhR
sk6GPg/UPOkn3rSPNNNdD7opwrhQEZzT7VNnns+bzhulqOgyixvQey7K/f/l7Mua7MSZKH8RESCB
gFe4a622yy4vL4TttgVIArFJSL9+zu2Iiehiuj9P8Oro5lJCmcpMncVN4XSysq8vu978pn/7z11p
qIE+h7T63FaJ/xz2Fb/AtUuLfQtDN10pRZ5MiMNnzbtqmE7pAgWVIql6Nuz8gU3c4jJO9J02WHk6
2es4Zp/qQe6bzUOU9u3ipEIRYIxHfU7j+aXh03sr5pd96745VnnlLJWSD+e0y791vYWoCFRxdy7K
JlQHjMyzYFH6TMc2+5biUuGyCGV2bhnydlXmMFidp0l/RqTmBQP0pQhckB73LcwmVEcX4I5e4umJ
gRRIEuk70f0JxfR3F/ovDc0WZjQ0EEzRGenPhglegWPbtUg2abOKkquci4vSzr4sapJXOtGAneca
HOCPoLilwzsM/KfxJU8Vg4BKM/eXVnQxK1LZYBjP1yELbeHjdhg/2YEESxm6oRPf+7oOhhLiJQ05
RAlm7cdUL+tykBGmZCXDLfV6XYYga88EUibxtepb68ooxDThSwBkL5RXaDulB5queKaVzexPfMjr
CWw74peTImT1h8ko2n1b0ziu3s0xC9ofU5QMA5jVJDfnccXfe9CzT45taJKs7FISiZJBJ2G58Kjn
0F7JOvDCwsGTFxiW2cIQNl51M43+HPZ55k5WSRMfzBjz5GhSG2OELWvIFXGpVY96Ns9dmY0NTUFy
bsboHiokbX6VNJrjs8dq2zKBEMbV+0A9jZ2B/kIcGuOhyzNW/kVGbZ/uq0K2aC+1xgsTC+3PLKl7
TH2CgnCa7wutLdKLxpVDISn1uWbqVxWLlyptdr73Jlca3MSskuC9k6U6T7m8q5Jo33CQbLJkYoBM
iTBBOsPkbIXaRA6FARn1O9dkkybHkFMmcGl35gQqTKsYfkMeal/R97fizT+mAy3oraZLw/68uEU/
gQ3WXHo6q32pjGwSZc2acOkIm858FPFDjPoVyP9l/rorlZFNohwVN8Zo059FxpfXMRs8hvldNu9c
9k2mHLpmBk0k7885hspFQtqH2vN9TDOomr1N8iFCOIkz3Z9dryt16EPbntchbHZ2OVuYV9Q1kQ8o
diTjKlmPZOoWDwWfRAyHXYu/hXrNarBVUM/9GRdVv62O75Jg2sfoiKNNpOrFjmZwaX+uwxw4snlK
V1nSvCW/9737JlxNMnhqFqLPcsh9VqT9QHHHnhGyD4sBLb+3X9fqTkaQpkKBEEZxsaS2PTZNs7NA
2OK9dGqr1nMc4bijGUsgylipAxue9y3OJmZtCKp00nQ9WLVS3jFqkrlgw8j24fvjm8jgPytiaAFx
AJl6pOFuSe/qjobf0NO6faPgLdorXaGMBy02dGmuWq9VXC3nNJzTnZt+E7WEyiVvbqdT2yheThYC
Ksus1L6Es4V8RWO0Liv65HPgOvqrBtr8l1eL2of8jLegL+hNdm3dCn2G0aAJriLvojKsrE3+cHf4
H7w6iLO//bLgtlYVg/jM2cuIjh+1aExfVmlH9MFOffARhLOnIMhle0AVJ/KS52hGT3WQJP2+r7/F
h4EUzELIkfVn64Y6KwPVQoBC1Z2Wp13BsQWIsZB69Cy3zFTNUXWvGg7emRvcHJb7fmDTt/hwGUGv
Jd0Z9mjQKVpta+OiFbHZWWCFm/Bmk1djR/ADbiGALfvlM9D7P/e9/Ca05azcnEOi66zHbipXTn/7
Odn74pvjmA8+miaRqjNq25Mk4o6Qad8IINyEtQqCkFsoiJzn2ECSKohx1WD9hz2LAinjt1Ex13Lk
kTXduVrG7LjUhBcqafYdlRDReft0mzZ91+GLnptxDX5AxYn+HAMcN/vefRPRUxt3fdxF6oxa6yk1
/l4O/A9aLrcN/f+2inSLE+Mr7hnZ2HfnaSX1XSTHrOBNb3cdYnQLFbOCNZkRVJ2pyHqIk2bZcFen
S1fvClO6BYzF+dpT1oXqnCZdWw55dhFx5HadA3QLGYMgKOdV3nTnPK7twzSquEzn1rz/39/0VoP8
28JvgjS3whkb4XyXPh5Q8ocTz48yjPr+yNDVdbtqLLrFkGWOVRmjvD+HC50hx5bM7S20wrzfdRaD
7P5256ugmQaTN9ibCXlZ5vADj6p9236LIoOSxZyFI94d07XkAKnVtvBL1O37vFsYWYfNGAigAo8Q
C60+GBfol65O9rGZYCz0dllk00VLSCZ5y8HZe61ocp6bJNu36NmmctaYLoSV6iQuwzGV6IfsfRDz
ZufCbKrmxc2dW1wjgRCAhFMJ8uHw1cu8NzufvzlbIUhTVXoe5dmP6Q/Mjh5VWn/+30H1H9ks25yq
sQlxWw2GIEirfdUWw7SYX5YO+6Q3gFp6+1EbtG9dXd2WXWcVBo5TdlUsWXZu983J2pN2Wf2Il694
jbFTRHQBSZWdJ9QWUpYzn7pkwvwtsnPkDl0DPALkfbvW7Bq+QJ737eJkxlYala08RzVzkFOEAGYP
Pt+HXV92iypzrMGEyw7BgUd87e/aMAqfCNHJ8oe336ib/18VIGhcvH19BnuwlbEFW4ctiXoeoqhb
Lo0ww3hCI7aQE7T0GBSjE7n2D4FDV/Cg03ZQX+HdHp8WRvw1jQPoaee+WqCu4AIhnlWXrKRUw+Ca
0vO68j/6yjXLqdM4c8sladefVMXxvdHtfOea2pxotUDN0UMDoy5C1cT+Yx2B3/Je3HQqPnZNpqcD
GjZI7IZqtGUdAvn51Oo68Af811PzSEnVm12FJN0C4oBrHMiNkHzkVdQ+mVzkD6QhfOcBu5Uc6wOR
9JiOijNZw1+MDO/ziL/bt102OQa9plMBs+JMPXC2ksRX0k9/EtK4Zdl/ObrTTZZZlkBxP63iPGho
dUCt2Et7yB1QDweLDoFfWc5k/XXfX7LJOdGQJyw2iTgHOmDHWFh58lryT/uevsk5tasW9IhUnE0f
14eg8p/nlvxpnW4Hxr+t06Y0iELeLGJcxJnJpXkBqjp+zmq+fl/bKPjDZPM/fmILlAurPOVED+I4
rVQwiHcP49AUZsSw/dpYMNr+0FT/xyff6tIDnsAXwyQ/8mYW4rQkawR0WCCPjfIZgaHBzmsnOHy8
zUO8xuykGiUWrSMBgG7sMxLRzgOMbeqGAIIjGAR04hzhOm6m9jTT6A8J+r++xO3f/zHBTimwnB4c
3IOASO58zeUEzfksx70/40aGu9AFlG3iOsGzWdOkAWQ6ICQIrjv/kg/pPmor/FXe/g2Ty4emcWN7
TtNkPgFzDTOKGsr+u2JtC6QzDUaRdInqcxNnMUT8nTpkebOvj2ObQA6ZjqRMZXWITHMXVrSIe7Zz
zTdh7Ggop37Go/3N8yMfTqoh511LssXQOaiuNVMuqoNoyH2aBPcD2zfFo1sMHWCFNyHcpjro1g53
7TTN5yChL/veexOkVZLWxtEAmz3i01HrMS5cLuPTvqdvojTMxVglELA/p82k74F6/Txwt08cFurB
b/c4ZykPDFmas3REnpZ87i7hIPdBUWHJ/fbpgVtxn6LG5ty07XDQdfYQpON03Lcum/Bc23BYJgod
71nFzXoixH7SoxD7hoowX3r77nWfzxC97/JDZ4YnIftzO/b7DvEtlM7V68oVRyElZwiZd0sHDX6Z
/CHz/kfTs0XSGaDzPRh+CKLJ9AVQY6VmUBTeteZbKJ2HSM9kZt2AtaRc2XHdD0U13nxw9j1/MzjL
lQPnAm4cIFr1nhSZrMb7fhXNPh4kgKxvP+rCuqpLB5oflPW4s30PFMAf3vzve55/KW+2WLqY+Qji
VLw+Ry6g5j5sVAKCEYdw6EcoJfXnJsk9LdLBqOTIMF2z5TCLxECOUzN3GpY8HI5ew7/ju0oTYs5V
Rpt01wQefjZv/+w1GCLobsy3dmmc+bWhYbYc60nAc2Hfd9sEetc0Mwy06vSwjjVDgnLt0pV1wiL6
c98PbIJ9nGFgYyq9HJe+1keVxfag83jXpBluVm+XByUbfEmoWo7RTffLJgOY2nG6C19Ntyg8nZp4
gofFcjQLtJvlBK+NXpJ9GD8ab07juF7Ahl+65UjaSJcUxg0FJhI/di36FoTXiwzOs7Saj4bAMiEL
AhC41jjcd65tQXgcWNMwDuh87IGsKXox8ieZ0vl137tvIj22WsOxbIBLWI5bj1h4fmxcsnNhNkdy
M9qox0XsfIRGJXnXqVX8YKFP95VBWwCeh8vMMC9mOnYdXMCgXA1FmLjap3pC6SZUJZyYPM2S6dik
63hKqhn64gEcsfYt+yZOqSXUSzFPR2pVDcTV/BH06nXnw8nbOF3sAMms1E1Hl0a+EKEYy1TsrFVu
Lgn/7FgSsbCADlh1ryDXYmf3OxzrfVxCcB7fPjzwWg2VpMuRgz1zgHNHXSIf77u8h1/q26d70CCq
xqCwSjX5MSn6omqyj15Nt9CvWmGk3Ot4OTbhGBarJtWxqgCj+9/b5XYA/cuhuVX5kpEYiOhpdmKV
TMy7elGNOjlG5HiKR41T8H//zH/URFskWGVoFUct/ghYAQcHQxJeduuyDwlGt3pfuq7SeWZ4Oudd
c8gAAyvz3v2179U34SpapAPgGcejXrUrGzW0h0lV+w6+LRIs13E4qyQZj0Ys5qTqjMAvKvf7Tr4t
Eswpypgf7Xicay9P0SQ++ahNdn7STbj6WsW+x6znqLM6LZVc2xKQ1H2wf1gUv42oLnXpnGaVPgYq
GEt4nnUF1W6fchPdwsCqOJZj1DJ9bObhZvimbl5o0z5VQbrFgC2Rw8gZhlentu3gRxTq9bUNuz/p
1v9HKG1RYBW1NloAVj4mYwQ+yq3g0CT604zwv56+OVjhcINxtcvzUxxgdG6Cn73sPu4KpC36S8DV
tYJ/BqzzJgoLKuOBTpzrdfqy7/GbOI1kT3sfjvkp0aoDALddWf0AA7wu2xerN6egf55PesoWVPE6
P+XwumtzcifDnZXYFvwFIa5hdgSPhhng0d/wEN0+QCLdIr9gBtFUdTrkJ3+TPhI2isu4zuy+guBv
zNM/poxtCAM+7/r4ABWuSzfqdyHbpyZIt7AvuDaiTFIqPjDAH9oueIi75v2urfL/QL4gI1SPtIsP
hC2wM4y1BO+6tmr5tO/5m9K309HQyqVPT3EfwSfUx1N8d6Pq/UlP8Pacfzm0t3iuJhA6zmzFTkoH
0wXulEY9TWnI+RE81bS6cuVt/Tj76v+juf6bMfpvP7ppYVNHqs60g0TbutpuLSPZSKKPQiDq5Kmu
VhhXDnCCxBHW0QFn+9q6sUuvvdSsVic01q1QhfTCuGtduaD6TqkF7K4LAWkVBW2dt7ZAkaOHB8Gi
TD+aqbKwBl6DOB1EMXrJg6YIad5QGLTNqUYh1DN8OljIDT3/rsdaLVERi7RRV+oF5J4PDg19ymE0
Z+xYCkfb9QUSctY0RSJg8QOZb9esU1dE+RKwuMgdpOHFJdKCQfpeYWYJw0/wCuSCF5zSvvukiUIj
06Zt9ltphX8elyE2Bwa4L4WnbWdEaYwlzdm7ZYXrkgjp1H3vMbRNl2IdozCyRZIxXn/tmljkPxVf
YPQDIqfvR1VA7at1X24gPbjUKrcWHUSjptLaZorEIQVxsjp6XNmQY0Aq2ARWGXZaXhpmXaIOxPgk
vI8yw/JTkyxegRc29O4Cl4CuTJk2DDaAC4wrw4ZaWtYpG1CFZSo7ZAoCuMU6cDZ0wG+2fc0Pc45+
Py0xIVl5jzcbOnikZoSl4I2Y5lzFKcpG5BKmljt8rb5uijFDZVfkUSBhaqg68m2YYbtpnV/Tn0vj
HT3psU9gAzuSjL3WA0nTJzpXlD74qs4WfpAeHJX4lNslgiKCZ+kiH8HQyPC9dNNovBwPfc6XUwhV
Y1RjMND14uIYXe2PIVNND2dog2HwNQUDCT7Ya7pOrpRdDCcxngU3GUi5yM4GYLF4gLagoJMuZjk6
fMu+v5IEgzRyZaKDE55gIj8xUXdlz1arRkxTXDCZW2VpJlgUT+JoR+SoJ9bzpf24roR3GbZDT5ZT
S5NpLXtewwkavYaTB/Q1dfY1m2nX3+erR+NXJ+GyjoXVM4b5RZ4lKUEFNc+U0jJPKG3fRyIb2QkC
K2K974iNMNUOZ2ireVwzz4aDuxW6ic1AcjKIrIVy+UFkAM7MaNJYv6SJiuBRWk1J+wO9TyYRNCru
zWFqk356EkvI2UfAswZ1al0KmlDeh31y55OAiIeotsL/1XSyX8CYGYM+fhoQtPWx07UjV62idvhc
ByqDcauPBWdJkao410/hPIvoR9xWVeaKiueKn601JrkLxybuv7SWuaSE5n0INjq3qMwg7Zww+bOa
LYcZpBhE9iOhbNCfwS73dYnbJZxd4Hn07hGovinD/9wH8c++HY2/KqKd+yh8GEWlrhFJcN7ENr9w
QfzTnIf8FJIha5+zcUnZMcwaXX8YRL36dxYEDxLgJhq6AdnhpkTMrpOdu+63wM1Nfd+ygbpz37ey
Og8kj8b7ZchTUrYxpldfM0bi/K/IiuoJFPLgDtdI/ieoLapobcIPHAJBwWFtfGbv4CFh/AXiQfSL
zJs4P2gJpuP71NWye4p41URX2zeLOwZD3a6X3I0hO6dsFeHnkFWi+lAPOdeldnMATcQ2zCeQaBSD
kZ/xUzI+TqGfwyvVTMtPMO6o+uclydP6FNaiTw/z2hrkTptkY30CfjoaH4fcsJ8SmgAdbNjhHvRc
r+GIVFL3qz2ypJ9HfghxW2XuRQuB41PFFw16TZAa/rHOpjy+Kq01K+YqGNmPus5bXfJuEnNbZF1U
hTA6iul6naSa5sNsSRgc5qkjUdFJb/VXOud4g0MS8ghyhiveogn4BPvvNZi6Y3eT5CkgaOfF02BB
TDsmeoTZfOgsg70a76DLCSsI9ohyif+qEMJp2cqbYTRTNuk/uwE3LBA4UgqSZ7BA9r652hks2Y8O
/nRjVdTDnK7I917bvi/aGce0LTDxNtNPuxiavMKCY8SBIKBWk3+QeMrtQ+p5GY8wccRN57GzRMGl
3eguOUvYCYujMZzCCJpHc+bv7TpxTC1W2Fjll7ByqBHBZKvr6wSXtaDwY9MELywRIznUMdxnD1No
ovyQOu/b1zH0tL2Y2dv8vKge1qGDJZV7oDDLeRdGU9u8YHJEnCgaKef8BNV4Pt/lAh3Mk8NILDvF
osF5N1dVMgDnHdfrg+JhK2AmO0ZzGesxDcBbGKeqsWDP+Sn6MIdCgYzRxfP8rlnDlFx6XBm3Tz2U
7hq4iLsYBjrQFS8GO+bRNaL5ND8n0xB030mzZvKBSTphj3W1kvVfVGYeO0FBsm069jxrzAl/2doe
EyXi6RMTpq7uJt609AoSLZOPy0hg8HVEOpLsAF8mWv3ykEqGpvlUt8ll6hvOgW0GAwt7JIOO0l3d
zk5fdKsoMMMEGOLwOGm4HhZmdh15wW9mryaq5/WbhGg8OOk5qfu4HCC/yMsA+akq10qvLy1hM71k
uQbXJek6gFWVGbOgdHqZYSk39nYFgcSkUYkLhax+h9dNkufVOt5cgo7EuDlqKhEsH5XyfXcH6G7t
URV1fv2JU2OCvfXUhGH0/nZTQ8OS1rDlfvSwT1cTMrF31TVr8ekhNMvgbvZgkZCHZ7hfwB89nOt8
vsAxOk9uJ/daQxOAYxmnqYBNrsxC6NVxv/ByaKxz72m+yryAa1rGTmmskN8KQW07PodzlA3f/Thp
GMTL2azJ1cU0XJ9i7P76SzutsKDBH0n76llgHGY/ZAKLeOdJO66Hji7JfMH5H2iOxSXKHK1PUwvP
XjH3Hh9z5OZkrAjUpzRys3pnsGbmbmgBC32Gu3HdlHFb99OXVack+apI6jJVQCEs7DRWikr+VwfN
1PAdVOvj/Hsfs1x8G+QgCPorCCLSUrWkTS8qnSeH+q0OM9YXQ7A4HIVyxfGBag+SsSxITHqYINLQ
O2D00uAHVOVdXIY41NurXwbxMV2wv48itJKVzeoxc1VpF39OCHARJXVZ1cLdfI1TOCL26XKGnW7C
TEHXUA1Puh5qUI4jyHeedN7K/pEqbQNZMDCwvrf9MK/w7W1i8xx1ITzcPe5Z849x1tn6ZCScct4N
pKZfsgkuL4cprjAKyJpgZk+u01V6CsfWkmfcP9HugxTp5O+jtht6JMwYsQFYPIBq2VlARHV8rJTM
9VpmcczfOSBfgnJljTIfJm8HEKLBeyW2hIxhJco0jxr9LCbMmIpacTkcqQOvVp5AUYuOWUW77jCG
FcGXaGoZPcaLvjm5sulW/GSAVtYwgM9MQg5qGcJoKYRf3ec2k1BNKrwCa/GjBrmNvvKJ9Q9jt6Di
KmveBmXUQhXOlcjupkgto/NnskD24MKZ1Tjv0zVEmU5B4NVz4WgczNcGrxC+X/oOts0kYcNBuHrp
zmJFqH9NwtGaE0mFjOBMMkLyLIobmh2oBDy4mGjkTzkOIzsXY1K109MC6FTelYqpVD6IqXLPmbsZ
oPrR0/spy0R4zOBgs+IYRclxGD0Y+K9WmoBfBeuS+eMiq8h86MYlKnFHMpBvTlbWlJWt4wvKNbhm
CrBoekzai3Ft60s9awhrxOBV47ClpfdzroseZkjsMI8huXDUA58t3LTvYYKOexyWt8NU1hFhHJqt
msC6PW7ZXWa5+ysG+6d9JAgddfbt5PPHISDju9BC4hUtEJ0fOMuIR+0UxeM7E2jAduc1LRlo5I+4
zwFZG+alFGrkoCE/ujEjn3oLF22YQjNRKLXO90bI/JlbKOgfBLZxmayLhYF61Vyg7pE/LIy7Ox6t
8pvjpn3JqRzLJmTvZTKqT0mbd3nBQz0BdrJIIYZiDZvcTgVHtetODlZ17sIM4a8sWvXd3LosP2A7
s1L5xa+nbmyTOwf4YvzJBln6wqWlkGUnc5cGlwqW6Ra29ti5GWjyrg7/aubKzZ+ShDFXmEatGaCc
kbHu0Nz0AK7SrR6yKdkYOQ1n3WGYCPqYhvbtgTMTBXcmisHGBq3UhndjHVX50xSs03wy4PmHr55J
wsrcxWa+X2Kd8G+oXNVwTGYSkItudBM/tKuRMHvlnZGFjfSYvdJF6vB5oPBtP0KmwXWQJJhYfe1h
XC6/BjW8hNsycU3SHMKprediSRqUovm8pE05StQotqhoAH/0m6/80vxcs4QOD2btjf8BUyqLcqie
swS7WyK2El20IAy1R6joVOQ8ZrJp368Rev9j38VUneYUeeeAjoan1+EGvzsOqSL0GaSaNrkHfpZG
hyhfk/wagTa1/m4AxlbPyzRnOixdzk19Nw0TDVkBQZEM16O+JdK9R2ucEnTBgGz6+2mSE/JC3aU2
etQKIfki0KzaryIR+TXucUVGJ2XTr9FERfBN4YIVbfLaJ3BcxBC6LrE7UCwV1WKQ3adxWQ9G8TH7
zMDpn18zi9z+ZZqGnLSHJB0CnFdVlwTmhVnfrrwICEkpLOurUZV5RSV5mny2ut8x6P7yr7EBm+2Y
tbAt/OBkveYQHEj68R08nhOxHjsDdddz3gSkf8cQZciIIR2HDOmpXlMMC+sOtOZLS8PaXqioRagO
sR9RAhSSMcYhA9+j/0DF1w6lM/pWi8DGZbbv23kcuT3ngovxVU5Bb059G8z5dZryJcEX87kdDwOR
q/km8gRcJFaLfPo2WzGYk+ahCspcLNF9M/CKlQMuwucH17YxxydJG5ABJ0zZy1GbAUXpwCAn87p4
6GKDID1UDz0nw9lWa/ZhoMTNqA4S7/Wzk1IWI7xBC5DC+ELhL5a1/cnZLHElh53qcvV0QoNW50ta
TLPtA13My2yn92lk0/q3gbVJdvQiDOsDs7dzFfbx8Ji4VCizHxpIc2HX0UjRu6qFP+u95q7/nGdY
hAOd5ziSRdgA8vA6Sd8GqFJdGJxXj319Rh0QpXczjoD2u7W0OaMFiPKvPSTO07pMch42H7RJ6hqS
0JFizVJgkyW0zJBVHbq5AMQ5n9ZR85S1NvTliID/JKJEHWXVsA6hVi13fYgJxiPmFTR5l3UrE3fW
jPkPTGK+oPSYCYOlCgMEvIdHDPnQEV59g55F2xy4QlJs2lE8znOIysxDYMReZZrVpfYOhiOgdYSX
Jh2pfBxmOsnHsVqm+0Xrvv0Og+j5VzCIaTqsS4DPGK/pq1ji2+WOyHC2r7F9Zagl5gP3A2p14Jrm
tZA2VSeQlXNWtNpy1Aa4qjQwu8tWzGuRCSfMd+b2yYJlAgfG7DbpAfF7fBUoxgqSAIF+xSg9nx7o
kA3BO5oCxAdQUNpxczWM81nioywunMDortrmuIY0a9Njm7HmPR/gDX+MwF4Zfq+GCFMGNSZX36DV
ADfcMcmm+NjVxBFszYa8jA36kbPr2qkgLRKoLswywsWOk6X+mSVqIq/ULrUpnZoidDtpLM1atCaT
wdemiaof2a00uWQrWOafHNO/ZiHnGOVuPkQoZlUslksOT5CszNmofvUJQrbIYNlRwhYkjI8yj7O/
h3+CeiyCy47Qt6xitDIwVT+tJLXpF82DHPzjJq8wGQxyBWWkSUOi4ICiRNm7hPX9TylXyL5hclG3
3SuU2vK2JGNt6aWdY/cXWmfu70dJql+qlj5P4P/tDHlQtY2HT0EVsuRXBMuM5C+0ljUmIy1PHvJ+
FMgdYe1KwqPBvhvzKtXgdeBuKeaMh++agDFMs1F6hPeJhaDoKTcjI4d19iE9GmYmU0i1rC/QRI7i
z3rMzfsgiKfPWZVGn4D9mP25r0ACugQ9GuNVqtUcWZxB0Ne3Rn/Gmov7LhKAtbEWBtzQOIn7a1/n
+VAmulO20EElvoCpuxZDAvKW1rFl9+Oqg3cps+sjy32dnfoK0gtHmbj1PMBW4hxpGV5jeDIj53V0
eq1znrhnzXuwh42B3k+RDEs1v9gFEq/fICCC5mxyNq6/YDQMXRZmHNaB2LZFWshpRHtUHCn4x1k4
f6pXhiKRYpTAOaqMNgkgD5v64DACBp8ck4xjbmJhrw6fknT0zZnoUL9Cfr0VH0jWgwS+woHhQ4MX
KWhjIr2USNtutsWI2Rh91qJO45JqvM6nvq9sf2qHqq1LEqfa/rhhXa99J5W6X9PUS/yGCKYPIoqt
fKY8tf+Hui9pkttG0/4rEz4PNQBJEMDEuA8kc8/aS1UqXRglVYkruAEgCf7670nb3W1p2t3f+DAR
E/ZFKmVWLiTw4lkxsLky2ArRe90eEko+3wGKbjdYJtp2OzJW6dQvpoZCLodi2E03EywiyMc44rsA
HJH1rOtx3J4hWp6cM/faK6opaZmlzdHzJrXuED+2vnkMtUlxg2rIU752C26fTODjqGeyqWVok2Ew
8zHoKAbOomxPri/YPdTLAxwCyHcEzoGghiDk2SdvhZx8K+CQcR+BMy0TNiJN6JsRY+5zdODUK+AB
3di+PbRgKMrPxTpoleCbguFd1AUmc6yYzaSSYsh65JcjvEheISJN8ETOUW8PSxcOYsfRAY5q1GyK
RBl7DLGH21kGl5vQq6Y8R7vigBMTFp86rVYt54OBKUPGfreYBrcx+K53i70zO/SjIXk6IVGbQImp
/JA+dSEmtHSa5VgkPJwieH1M5OqnMkJMTUqQN19+agBohLFqbVF8JMuK1SP3vIgeI04VS5T0Gz/t
gIZNSddOgLZimKCWPK1gLiQ3YT+M4g6FIOUUO6RA9xvrMtbFzl9DTDCyp+arN6JVIWawesg7dNlM
fFe4fuZfI7yp+VljQI3OTNOGJ2HDa/+2yWeC0OQeh4Ki1ErdOxj4661faaJczGC2nwBgFu2a46Bu
ADngol4wFKKjPRtQrC11dlV0pFwPNCRLeyV74LRx1Acz8tL7YnwnLCiLa3/NWuiSMlK3eysmz7+F
b5JHuKfGYJ3B/7Su36K/cR63ULr1KgGrwuyXdlbaQ0HiasTBawCnfCKNunxDEQ4+KR1lX8GMigOY
urbAD+sE/gqjbYwsFuqfSOQzHC6Z8dp9CZ3F9GX2ndRpFkWZ2c1Yr+d0ZH1fb5ogEEPqo5HG1PEw
KldscRps5CkLEb8G8WVzqQdDW1qXVkUpl2NmCBcJfCK5ZCmSGAhuqDJT4LNBhXb5MZqWYMXMYvpw
D5CgA1s/YLaLgcPSOoZhdK3SAZdBsw0XS4d3XrK68XB2oKEJ0HeLEJNvfa0a+LlqMGQGm6nCnBgm
XjPKXeT3vlsONRWBeEJmtDLnGUf7pccbL8MqxAyyBN0N42WzPHt4N9KLC2qCzm4vadY4kE5incJr
ezlBnzKvqxcMX9DLImDKZXl+4xTVOKyMNohwg4c1MCuegGthOK0SrWT7tXQ4XUPb57gi76OZvAHD
AGc4MHUG3sYJbTXdeNSys+KGYfHIMSqKan2rC7ARn6tq7uptmIetN+PT7YMWXczRWN6FGPdxL/uS
h2zbYzQa3os+ZLOIDZVIa555aMUjBT5Xov4F+L/5IsfQ1k+9ZzvvtstB+NxNl4MqEgucaPyETwNy
jWGb68fmUCjwXrhIwj7YjhwHn2iDHkU7nOAAzNmcrOCQOpx0y5GXPCUsMuI092CSzpiuRXTGWBTq
h7ap6vHI82DuDp5FMfvngJCMJNFlZtvaTnk2brg/e+eOIJ3qzrPalljj0EGRSEzG7cZZJcbrUhsY
XRQjfHpcG0gaE0E0SJ4yaFpEzIy5Z76KSPfZYzBrLP4t+g2qaT16K+q7MbIi17A5zH0eOMxTqLhO
KF+M3buulcF+BMo+75o6WskTUEXGjmUNJjDpiYIAYAM/MRlFimtzBbZ1QdS87TD6vk2CSFVejHvu
Kuq1C8E1MsRjbAmFtHrYlh4F3xO1oHhc3KBiTcRuWHqWjgVn4d4sVq77Plw80iLSzZ+tBKaXoyut
s5JWZ0ZHrZ+YRqr6O89Dq84YbEu+bVhh5cM8g5pJm1xUOdyJEKTdlm3bRKcsb9r6YRb4YE7OF7U+
EotKnasJr9VHo7lb2W1lucqPSzXK+iMOemU2JcRiWh7SqhMKsHWIjLaSJBY3c+8lyP6IXJ+CB+RC
bmvIAS8RxvwFCYZE00RKBGCqjQIVpO0BA9iID9bwqh9vsU+3AJ4hxgGVhtlNuocAHzvMVZIV9foR
7Em2bCfcyVu5rvyMQ3TknXwvkxjsIoL0Ov9C4wl/R6oo6nd1xQd2XpsOzmvqu868zKWVCK2oLaJD
tibvF1fEdI4YB8fpQ3RFBi2mJAKwoT+rKRT+bYfYBe1vL1GvFJjGwlDuLsZVTlUi1TzXqVPjpVHO
6OiajVnYHlD1s877oe1tkOaT69uzr5FTA4iUgG/t3MjttgSIT2NPU+ptwVGaMm1ELnHs7AfdY0IK
VBm8Lhwt8qdszavlHpEMoQH2XmTj+ha0LMi/9HVHmgMJYHU8EKC+wxVSA0bz2CCSGrNNy8LlTENP
u29uYFV/di73NAC+xRfJKjGOxMCXLbiVUmuI/QYTXlmi9JwYh+LQw4iXUKV29f06gTY+Amcehhd5
7SS2Esrm62ZCM/BHMte5vhrNStsjR+3devm2eQavgzQOzfCah9UXwHxekFZMeL1GWCvOM4lucbWr
DSbrGhskFtLLMX8e+/lGeuMUJM7z6IibRQwj7BI9u3yCsgdchUliZPJG86nxEDdQ8vLNXvbHN24R
nwAvOcsPQycdjQnWu+YhGEff4N7LmRpM3AsNVzUgJhRF8YKUJIV40IO8JsiH7NovuJm3WEaRhTg1
bTm9m2rpl3O3csWex8VGIQ4vQ2WPzvF1eRZc9dPNJcMx2Gtls1gh7GaIMY3mF7C8XybsuSAwb4Vz
kh91AafBNYgSBcM7ZuMV0NZQA7ViKK4MmXmFcXUQMYxF/rxZor4GajcOxT1kEhQT0YRS5vsKykbs
i+jYQHajnEQmn3hPJJTmLQGfNe3abBw6E5fw+4VxJ6AjCBJw36N9B5CUA7wFYEPMK9CKtfTiyGB8
rWKGVdYAQ2w6uD1ihNTj3LldYA9FOVC7hFHxAoe1s2NsZ5TYDDs1GVZWyTwgPxxzKIkWRtMxKCDl
SP9djwbxvB4TOzBVgUkIFEE69oQZsgRBycHHAI/2TtNc5P1BFhfsN8fxe+kva2aY3XS+HjdAC1YL
kbWXeYd/z+xCFqfDZo+g7mVJSVR1Nl5dwW5AWLU2jTKYv/+cgunH8rnIha3qWt1siPxUhY/R9OfE
9T8GCrEmmEDX4HmD8l4AtCjZn7TQ/Fg61yGtUWYl51tskwQgkpzIlcZqrf+Fh/cPAquQxfa90A1Q
mG+gSAMz4eH+G4quNCc1ex0yEPXYA3Dypwq1AFwO/u2iAd3igFV5JOm8Bd/TP5dQXfSG/0ht9IP+
MwdFs5TeyLcd2kybtISp5QriwSHBvAb6EVyc+BdJA/9YTIUkyu/f7ThoXGpBEG0RCDDwB+O6zKZ9
jjk3nbEzIZ0U8Q8NptLFtf/iE/7HIkv/x3SiCvow7CY+20YCnRwGsTObAVjzv3hDf/TsP6jPejT6
aV5IBuWI+lKP9GkWffYv5OJ/9Nw/yEMxpg+qzzO2daj9iIvRHUrbBH/yyX9QmBlKTdvZiG2BQW9A
pJZxRoE8/vML6o9e+eXvf6dUzJapNEyW0TYnnsaePmUxLbD7/7ln/0Eb6td9AHUQPhd/VcjmNRIt
k2v38M+f/I+uUP/7lx6NVM39UuFyKbj03zQwpTkhkfPRKyR81ce9hRp7D5MT6/9UPR/0Ld//ykLk
M0dmC9uiDpU9h8OorysKePWfv6FfJL///e72fwwp4pULAAvl4VYJWQCBlq2bQa7gv3dHTfQUYvLG
37QhbaNd2VeP1Vo+UlxpbJ/p0hY4q+TFBu2Mb8sUoLo5Nhwj2a+v7j++Lv+Zv3e3v74O/Zf/wp+/
dj0O+3lhfvjjXx47hf//6/KYv/2b7x/xl917d/2q3vWP/+i7x+B5f/u96at5/e4PG8zlxt3Z99Hd
v2vbmF+eH6/w8i//f3/4b++/PMuj699//un1TZVtikPPWH41P/32o8Pbzz/5HNKb331Fl9/w248v
b+Hnn+5fq1dtitf2HzzqHT/5+ScuPvg84jLEkshkcMkImd8vP4jkB2Cv3I8YsjuBOl6KAFrUnhY/
/xSQD5RiYRUSsijiB5cf6c5efuQHH0gYMnkRtBFBCezPf337331Bf//C/q216rYrW6N//gkyK1yX
f7+gOGIzqeQkEhwNgwEXP/bLdKRfvNYzektA/15ihxbAKn7DoNXAETo6tAAUgQcvk452sqqg/RmQ
FNOmyqshoR2BPcfKz8XJR0oaYJQlOEeDrMtEOZx6E6Aq/YqzLWuHpLLKt2eplq3lVTBBucaB1Lgx
AAqE+N0VXhTmzYktwwwal3kc01K10aGQuh831qKIdhe5qn5Zy2WZUxrAkbwRODVDMtopxO2RNsvP
C2RpX7DrwdnC5bxbJilu1xonSiR3exuFokvknNbdpket2/0E5u/rBL3VqwOCpz6iUzf6omrTfvJt
no+J80HbxIplRbHNQ52/TYRXz41QOGkMxJ8gapp5DWhvUsuDJsSiTpiN/pnwwb4418O6v7rlJRCQ
IMZzS/rrEoICkqqWVlMctWaFWtT3C5I2xgM+H1U5quAmhZxyJIBQnAVyDMk3aqRQCzlq5UsPRDN/
Jcj2rOKyQ0LPBrSYxcgRjuN1hPxYCCahhYjNXFDAZrL1jloHjcGTTnZNPWj4gpOYnEZcXtt19NDR
dkxC09pna03VxL4xGm+gbsI+JsuotkPVVl/AhtTnFUrBWxhWwreC0uUj2DqwGYABL+3vy9Ae+3oF
cwDkeNlkKCp4Uho5U9MqOjDZzPIcyuGhA8+1WvZU2Nw8DehOytNhlaWMB/Tr3tMor4YNXsHyNM2m
uW37obirIeIat+C05b4o0eIGMU7+qcoXzgDWsJKLtGztEqSC2/UZR5xpPEZYFwHvlotHt9aD/HLv
hVP1yvQE7B0yszw4Ud6jgJyNBIGHjgILV4SQRwTBVeMGeXMO1ZbIFp2SvtMmi43jFg4pJ/STjSK+
JraZl5cKGM0ZBaQI6S4laK3NZDIFWbyE8DvRdQT0lo5lG+xm1DQPu2yuLvT3AA1FSgAA7SAIsWet
Qv/O6ll8rCvk+8i6wG/1WuChiQTafZtVJmjugVx3MRirYF8OUXBLi9WclomgpajRLVMxpaJ9aSEa
OXHsQl5KuzH62gMpTGmrhLcFnGaOZeYiSHyWALpj1s4b2XbRi8wrKmJFSzoknfXyPgXZKWcMqAhX
QHrSeBDAGKptNxYQEXfEmmRe0e4GNYfJ70PE1lsMvJX8ROZyeIa9QXyJJhGe+DyZFkc1PDly8usk
7MSznUrRJADOETZhaPjKWRmRmzzMu2ijmhl6W8iy7M3QrkAAUZMSHscphJ5nxVG62gZjbz+xrtBf
iioHctRAG9XsRqwD1davVxvsa+fjqJhH0DrHGZkCG2dRzYvT0OczS7qSI5mqQMLgBA2Q7ItkAfRG
NmUNHj7GODlfQXcd0hQQ52ig5KHokO4yCHogGzZOQJmOXIu4xwUL4ZVXvtY4xGV7XxbNmxss3VYy
D84t7nAEZBNdfB2jCJV9vGe7hZAVNJCNytjPgvDraBUkto5H4WlZAfld57abPnsrzvBVG+qEQgB5
FrTKP+KKAualJK7Kdly7LTYT91Jb11wPuSBzMiL9kuOQnPs7hmFQbhifvlZjuOx4jhhtVzgFOnKp
l9RWFMQrDuBTdM6baH3AYsPUYy1F9ioqT1z7OS6IbcQHgKd5X38qHaK8wCWiQhKokfKeB7LY63qS
5JudC5xYRYUxKh6QOcERTZ2fCfG7NxMMMsDaXvpkJyhWxycgchUUHUQF3hYWYcd3ITQt42YOGdGJ
adfAvxq5M3uO8elRZBTkEJ2ti5XFnRIi96TdaNDTp4CVn3ND1T5oSgwwfm9fm8X2D3ZGvQEwJBIz
YIkPQGFaWOJDtJgn0GTzOs5l44OwWKdXJpcg2pdL0N7KGjIheKrcdKCtYQfeDOsnA3V7v6HdLDa0
R4blfsxMWD6QUC0M/zYrnwYNWDO2hWi2Etv9oV58EIN1CNtE7M8gjmzW85sOk9fnC1116zvabYNh
sU9NvojyVhVGYUHxcxbFAbDIzxVYyT2gxiVI7NyXb5GNiqQox04AIB7kAncECO/H3LPTtwWqc5Uy
pYbPbAxBCRqtQflkVW6T0FOdgVIvYxOkRRz0PnpF4fSYnIA8Z81uAX6sZMPLLJ9SAfi3Rg0ejZ41
OFZs3HAjkRXSW19J0K8yg1pF8gXgoQ85lp0KDH22iHt4JTZ9huLCrDb2BQfBOYtz6G6LOAS21UDy
ZgMPIRi8PV/KDG7MEN3bhi8pFOrPXT7hxsxBc0ORKmATYdmpDEYoYRYdvi1FRQ55IQUEbf2QmKl3
aejKzzUGuTgb+Dtbyi8mD70dLZsOit1c2cTqEnY+li/hs6mB82+6HisxUkI1Oon8LpyDQwjtMPCy
cKj6A0zpBewkHvRjCWpD2JTmjQuGJOeNXbfLKMYlXgrx1nVDV0Aqa+hT0QtvjXuC8Mv9XDdiuV5x
+byByYHMZJ4w6oRFo0yKEsDuHEK+BSyUVPsaur6NPyHLyxbNdLKLESnHDaHTJiirAxwMZFOAH72v
GW22bMqaNEM+3VcF1cA3UWbmpRFoyl5Wp794Ayjgeo3CMp0h1ADJxLLoGhxWFLdybukGzStrBdyv
rSNoYTrP+xgWZQNJA3w7XSJqO7QpOMBpvR4EsIoN4qzhHVF9VTgk40GXspnGfEGNiBdcD3RaobBd
ELm66agNPvm8qKuDhP7lXQyZHyuIb3HtiL45KKVlkGBFQEselJ/iZl0bUAJrO8qree3lmRjfucRQ
HEBUr4MjG0evjrOpMF963+B4BHGu+0x8xNICPjWBTKwnVqwWeYZsgjaiqowNsZhD86hZd8qxbElr
fMpXFEI9+IdqZP7FyD081mrMkt7vYNTrIl8/YYhaoQaR1P+qBzd+siCHjo1iokhbX0Dzhk1puc5H
CdKlkSPxEk4ZMGeoI6sby2lRxJDZmbSPoO9IaW3G6Dzl8EnBRCoqLGfE387Qd2P3W/nQYFsl+H1+
o9Yr1uA2TRYpBBiWJrqb5do9IauL84SJsjsIj3P4OgZb7VtagDSqoA1A3qQ/uo0t8ZTnsuOuvBlp
ll8tFaRfSeBrzC+RHO78XkX3KBJF32EGOfYY59Ma9FgrfVwnoF7xnoPGku2kq3QEH5BOpoByHbmO
4x0D0XSyGT4emBfoWsRYxhlUMZiKsWSArd2VpK2HjShCoZ5zVnXv/qj88h4SZywX+XyZjqqiX3tk
UJvmFYNCdu+mxaHrvu81QY6rcStuG5mrTa1K3oKhqSCewALtDDwjhXmqYWufsC8Tc2M7l51aO02I
Cm3Gd2UZvZ8hd9cp7WVzV6Dx8qM/EPnkQ4a989Fc826DiXyEtnw+QeznvTiSobMng3z6bu4q+4L1
F+NCiFrLMFFCVzvVhs7FsyLigKAb99yVrlnBoNDmOQpJb9KLTENhEYDif9eBDoKIEvpNneTIGm4w
KZMaYhuvwRSjSyDHe4HpH5T5BC1MNxXBodR+1GwHUkO6GBXY3eIQTURulwVFXh5XE9UnZkM3HGxI
IVIsqwYJoFY28tvUTuqrHhEoDbgd5SYbjbPUU1g5BC1ExQzn244ASPQSXL1FeAQBNU5Ys6q+2jL4
/iaQkG0nvddu1HzvoD8UXSqRyVQdirYCFpisE447KO9BCNynYZmpuGcd5pIdVGc+9Hw1gq44FC/2
lbVLrB164rYzLDOxWRp4v/ywgwINvUmHAPcTLszVE+pcRAZiahuEU3C99jkG1gBmM4iJ2CPBfrMe
68xld6A2huYWOu4VxW017Gf+uQkjL0M97WwbROHkCH8hQMWDJFDThJNK07LRQc1QDMNwVawdxqMe
Hh/4TWmvwmtTQdt+ZFRPxY2YuY1ukIuWzftKlyZdJtbeQYcyeGfBMJM8uob46w7BfSzY6mUtygOj
VVl9KkHEqj1IKOe2fQ3Jx2d4CsirLKs6insHIdxnVAq3WcyXnHIMSSbIcnzvsz8ikVFrjJnjMpQJ
qDI4hNPc+eQzUBltktGMMzQnWe+nWcmcPGP7HuZ9Lag9hmC0x40P5cMegUb1zuQGs4SfRctD0aLz
4eDKqCLbYuwDAfzG5tVVF0KWlayKdmZjal9vB6+YYArK52iHiAKZHYOxWyCtryA0TNDYxrNjO1g3
+Ki084mLsTOoegN5R6Nflhrjdj8sTl01ATShCWxTbAXTPBvRH1vSOrnPACq52DDkGD9hk4r0IVxM
izGHzPN5mgMB0qMs0V31EaIQ8FUU93B3B3IMMbxRj6BXSF9KHO2gDrytBilfoJplYQxZUQ+XAd4O
7M5j6dY9zQWfToUXrg0E9YyH8epxs+X+OKCBXqCDulT1i6y8DBM57fPbou6xJ4ZZ/9kLFlnEDVlh
K8nvoRsnNh3LWuPikXMDU10wVdC/R32Rlhl4dd8obFNt4WXf1hKz3oHyCicjQAxTEZumcF9dPgbB
Qc80x8BKJn0chsk+QBMRJZB0B9j/mVOHKRi8EERLc2+h6ER2Lfxkp3zBHYupJQPJm0FgGEFMk09f
NBe2wfQuoAzuoMfjscNRuNmXesyjRAPAe9J5kOP7ECu0Kk2Z0xt4MRv/CjlcU57i0dD0hGjd8tIB
3aJt3MGbQhOI4pfdkrf8bcDSD0Ei/IAfNQ1xYqpBDL8qL2oPHvoX4IzhIO76RtvEqJVGcZOzsUlX
xYIb1uTB/VB24QUgVIcKfX/rl4Di44jmaDzhujSP+OTlPoSoFI/vOO3gX9GHnrTLa65J/uRcaWAZ
yw1SmCvqH6eAwt0K6JEmVtDmJa8njnLrEVK1hHcUquB5Yj1J2wFRo9fS2gHrUiCU3Hp4Y09DXssT
iDYHj0vdAVtqRTYjdQ+H/VSPGWwNoNEKGBFK1KGlsxUZVuwB+stfILvf8MPvYLG/YZJ/Are8Kr/C
79p9M/8HgEvYoi/6blAz//FXePC/YZdX73nx2ry6199jl39/4K/wpfQ/cAYIMmJAJAMCQ9Ff8Ush
PwgKG0FEpeC//eQ3/NKPPiC2ABUVEogiJrBLbcJf8Uv2gfiEUQlXCpOUS/4/wS/9X4opf4df4k4i
QFEZkdDZ48l+rLK12UX3r3i0H6HGyfcwo0dLLAL4hWFRL4s3mOybo4mWpT+wILIPaFcQ+SaaaYV6
PujiPw4V7oUWknsU78Fst8Sq9OYsYbNZwON6RfBRah5cod+G3KDgg5nbgLXYuTgGPEziIVAceO46
Ue8ITlr9mXjdcnBatQljeQGIMjP5o2Y8I/HkNSaxlnqPkmKFEpbbTxCsNDGi/OWGkqZOhlbcE1ge
0ykg13BWTUCE4OKGKGAav8Lo1c9JBbgCfcNhjhN3pSVMPCFdz6zQfQP+DXMrIHOxwwqr9kCtEASO
xOt9xsSS5mwN9q505d7HXZTA8bXkyKFxGFEBizwK9AfuZlrPV71oZFJdbPYolSCbYARlgsaiFqaX
KPGn0O+fJkza9j7rYFSLBw3sDpS2SHCABeDQ+SIgZ7RglflxbufpbpiaCDp6dIDk56GEaw5RgRMm
mAWYD8y57QChoaYZGO7cC+AJd11lpm2OLlgofSbp0buVMuluEBETtXeQ+wF1XsmAeayuPEgicUaj
68ESE1XHbIKsMu1gZERlMrixdRtMRfNpavyB3UGOY/wtXYUQMUywYZ341q9dDMfGZJGXq6cdN6R4
I12fI6KnV3J3cTU9sQzaSriU8xxuBf0N5XwnizD3W78V/rkbHXpYA+LtPcDPn3iEQ2RBstt5aaGb
H4CTYaZS8ioY51S5obxDIQ/ZRsBUEKuXVRdtMZl3EGfpN4xDfN/5XoH8URzDaNp0BN6uqBeP7LJ9
xUh+QDa9Ko1AFaMHD2RWrkm4lGiX0KZ5QNjlkNpAQjfctcUOSGd3JLxVqadlvkEr3NGOTm7cStfH
DNVuW0jU2DGKKmgwK2+HzgfgccJC3ar1A3b6EqarSN94qMTYzvWcI3AhsCH0mCMctTBEcmzTCn+/
67y5OcOQLwBiByNEP406j0MIxSGMS+UjrlZ76gjOVggR60BUOUxdB5fj7AGIzcIwd9mq+twecrgj
b4BJTS8G3y3AhS6jGMd9HDJiNy8LwcQwQzw5Fi3MWfxpKUt1N7hu181VsxkkgDYFI+Ub8715Mwre
PwBG0jteWMQDlJXbXUD2Fy4hom+81V71xr13kFApTIC+2oglM2gNraptBONv/Ql9aNHD3DnEh9Gi
5p+xNVG9AVcSHi4GuO2yQGZS+n2wiTwfYV3TAJQUEd7ovuZA5xZoGBQN6i3CnkgCLLPZN9I7EmUi
rDAKCnJkGnzKoL0LYp03t7kMhqPuq/Y4QDp5kwdD9hrOU/Zbddf/2o73Hbv3f4jPC+Ql0uuPt8S4
LF7H32+Hvz7g161QiA8BgRsejm7i018Ju1+pPBF8ABsHKg96ahYw7Ip/o/J8/oH5BFsgxZYX+d9t
heEHPAJeCWg0WcApAnv+uld/N7P8EZV3ocx/txWi+1EIxBXRkLFQ4ikvVN/vCPsB8e66lSrY9RkN
H6s8XFPrivYIpb5Op2qxuwltD0WtgHH5QryUXKmzHzI7YPS3Q7hrJY0gqQ7r56ooyut2QmwAlS3y
cSAuKWSsYfmAvQi49rO/zgANZuCW56wuwEbVZmgPtXTRLkd8w7MMou7b2nHzXEA/jxqswDc3EfeW
WyJyrE4agEs4QIk7E+EflxGuIpAgwykELXV0VAPekK3BauCAHVLfC569aPXDU290daoaGei4FGH7
WJfZSg51GXonUuEXJSysJuS4RlOE+BGVfVy6Cts489gpksDYAfMjOwRwN3C7ASDLE6xg5GPG3Cy3
0LjhuYNugfW8qaB5yJvVf5N5Bm8YAnm646ihP2eQs11f7N6oU4O49kxUBcPE2AFvVIBd4eiNgvHO
65FmAFSmdHfIsKi2E8zTV60I6ykmtS1qaMiYsje5cfYbcoG8ezj0Mlibymx+7WHOQlSJl00wxHtu
uAZ+z5AmQBA6s8146OG0UUz1nV6dO0QIcdhaB6V73A4wttQzeNje8u6MRBV2qCjNUawRwmegOCYV
37IRbXDBtwJQ94C3xaC4bZtw3FcemMS4k8SKZDEE3y50sX6NU5kqPyNZoIYRHqEwaKjrt5pT/sA6
wrdTEIxvzjRliU8jszvrVcHXvqbzCzVTdPT6Kj9hNOnuIuH8jzOQ/ysYDCuWFI5wb4uzAWDSxU6t
AoZe5TrhVcSONodnp6kXeYMQnX4zsLrNE1RtqKObWo5cqwq2JGPI3cp6fgoqLPU0suyzgrPkEZUl
5iEkqLzCTlqRu3L1oJCFT5DAJM8WeU0iWdz0EUH+DvgJc8VGEZzZwP0DoZ6PEJasswerV1/F7YyP
FILjWu2pJ6u7MrdYqWs5Leds1g+KrNlnCdj16NVh+MJHFZ2455o9sDwfH1NH5fVo8UHFjLdCIwNj
YF3SQuAJmSdOuTh5dZqvWwqgto2FXnEcnTTqSYJI+wh/ncZ7r4tW2FOqDfg1nF774XPfqwxGgk6l
A8TvT6B+lwQw5hHsjLflNutS5sIbUyORgTMEpEnz/9g7k+XIkSzL/kr+AFIAxaDAsgGDzcaZTtI3
EJrTiXme8fV1wIhO8fBqiZDqdW1SMiODZjAMiqfv3XtuBPDaeAmi2F/bhNuylA27bRmdyXYcP7A1
/NCUpr7JreaxbqpPJ24DL9DxJjg9itCKIc1ijLd5HW6kWRm41Vejv7C2ZWz1+W3APMLxLCknazui
hi2wF7S2GxsTLYWyXZh+gSZ0jaQ3jw0ApVHVRxaEPNLpV3X52ZaG5fMYDs8F2uOLogIDwcxErpiB
tvm+swK6MPBCCHZbVIX2fUiZ9R3zfEr7GKsb07wujH6kBWvihtVETH4J4sU52ssURTu95+S40swU
vNT2yEHyRya9Sj1ksjvhvlPOo9kxRhltmX7EetHjJ8CECRXT5Lboph0GGWOnDobqG2EN0KNhAjyM
qrrLQ4MGdbgEwbPk1Hp9h/p5rHCxoFbOm00aAbZieBbWfpF0/Raf6nJhS6s+2kmzfLdpNeiuiJvh
hJuyPKBaTe8CYQdbuvzxZxWPQYdjA+SCu3Qq0d60rP1YV8bJXejKQw0b+rfKyNQ9ux4gE8OSxvuZ
ngROAOYPbt5KRmsWzQg9deK9U4fNqyEak9thxmMboGHNK3pMMOOHRzXTmlcFbtdR5jVVJBgJuWt7
NMGc//YuAYRF/7Ey+ms4FYg0hbMnO/akpel8hoiSvTYibE9hSIT9kiqPfTWkh6Sw0weE8OGtBXXn
VqAZ2dlFod/VxbmKuwPNv/mOyUq8YS87PDuOPmyR1hZQgyZZH5a0Um7UFuHESeduuh2RlJyTiBXe
S9H0HzGdvQWO071RqaXf6rgvL5zm9D5PF+N7xy4t3dR0TiqvZoB8G4I7OpN6gFFakH6zSfpO90lr
dLzWtMUlypdi2YxBH/uG05+yeTG8aCHi11XIK2yUAduWk3HpFqZA22zJl8dg6VCUBQz0X2wGi/5c
obTMI0M/SuYAlttnS+W1VpJ8gFDqDxo4bdQyeL8eM+rhbb9+t4xj/a5jKLMN83Te0++0fmhjRJ0a
hCx9di5mTy+yAl+HNmF+NXTAfrINodgbIfqKkdd91dSYhjQLcEw6PiCYMdlxKMTOsc1JmdzMIfCx
qPLomWYvCgHOzx3S/fOi0490NVmLY2UEde8Vka4dQlX/YJaKRgFa0xWSK9k0S5lUz+AP6DcZlB7F
xqkbeZ4qO7kIu2U03rK2mlH+jmE45jZOk5uEYvdWZ+YTusES0GHLR1AlGAKQRYMl0RV/Zj94z4Ze
6w5jHS9PpaB4cyfmjEe1baxvCMOHZ5J2PiCElcsuDlrssWGm30qnDX+iZg+3hRUx6p/FhGG7ZStO
2qYz+eB1xLekkeOTZKl5D5iasugiwYXGlqo4KGRiVs9yTrKfEFVS2tlltsmjGH8n4/G3KBGCdkJS
r9PLCqE5i+gUooG3S/D4S2UOr04QXrHT7Hm07FONGdbPxbCwvw/3Ra09qgvXmTnceJwRzTMCql0V
Vbxn9+NyKBI2GqAAeEj2vRObp6lIrMehgGettL0A3Oh0BztKKDrMJW2vtOpuoOFxoZAvHgS68V2d
8DLFLKYkG8gG2aYwxXjPxKyl3lN5tdIihh4YjM8AlKDYLiR1AZpq7jJpTM8prugNpDbTTbOCwOc2
M3xZmsqTPUl/YuCKEVTY92MLIakZQ+o95pUv2gzEbGhgwjdDUX0wwE93IzB+P6Tc2oMEcF4xZcy3
gWaVH0Mrpu3YYmlyR2zjj40R13uibihMRLvHEB6do7Kft8x66u+wzpfTpJXWJy5WoGSBeYv+Ij7l
Cq/7QtTadS5mYiHixEZWgw6Nxuw8KPEpwyIDgLBNp88gUMfzMidhvJnohd7MVsNCMk7lFUCR8Eel
xSaK73M35mN8ZwGv2wISc7ay09Ltksjq0geOsiNSLve0wLDoaEwfubW0dyD0bnpb7/aaSm7ZrMFT
tLs4deVspee6A1k09+OZojPeJE5h3GaDyPZBxbIOzoSMHIKpVBmf5w4FJkbpSnNuZRi2W2b1K0Yr
jOVDCRxM9+pK1bZRrZxYE/GHiyyJnnLmSplbzlMRe+rYJ5QRTr2cJByFLZHdyoOtzrr6xvzOlsch
aBF9WBUkWnYNxidFFh5gU8+1b7yk6t00dtpPaY5hfVxgXtbwGFLnY6Btq22XhrdRawzjo5OZEpJD
v1zUVrmAyjUfKCbnY+IkDETVNiVGNHao5lZlnJ0nMUKgUGsDd2xM/SlLtXAPxaylpHSCzdgliDYq
64YVofPNOszPVigGnMyhHr8iu9bPIldgFFNnLjdNB16fQTtWqIzK+rFsRHPmeTV7ai9QBk09D/ep
AsCJLohlX1AvdKpbWcUicHEaKt3zVGs2k1Zkj3S+BZxlHGpvRRrlZ70FeedpuTBv9JIKBQwLKCyK
VWJGIgSOd6noaOK3eRtYbmuONFXSugnRJC5Itdw0qKIXNY20U1NVwLoi1VCOCAyPttG3hzLN8psB
y1626dr8IgZL3pMeaNDfkgRieEle5B/YorVrWPU2pvFUvvWR1h9s28GvZ1lxWnowi1KUHAVWDvyx
NnkfqNqKjVIiffeDZbSfADpBRmlSpsTTqsmR3Uovq01YGk4G85UkmY0SOZo3J0GzY9V6R8DduY7A
OhrZRrTLVl/RFHc7ooPv6IZ9MuoP90FRKocpCQhVzZWDWkV7w4xvlhL12mBV+SZLwu5RHRs4bhAJ
d4FJjlJKPpOXGUS6rVsMKfM9J2LxMIsjKRtcjuRomcWnOnNK4lDZC4u+DReCAbnFKyemBwI8MXpx
mjHzsLk8gdueXS0LnxXKDpft4Lhtku6W3TkwydG+MP+uNzkdNj0GHcVm5KoE+jk1E3AB5mrXwqqD
WfV7V4pTqLI1M1t8d+BjrA2cpxmFaNQdZJovfj4yfjatYGFSl+sYaIeOjLKe4xwIXbCcEVEHKHdw
LPBhpvd8qDdtH+3hLUQbIoxvl16md6OeE3IbqcuFZ8/YVXrgbHj1kKg2omdFqCf0YwKo6yGo6Asz
vTK9kNmSz8wKAKoRw1ZSqkKHMNymFKXKPOyYxgb3eKq1wAMYNeue4vR27cqsa87W3NOJQ3NYbu0m
k0y5FJzpujHsDUUG33pN9K9tUlSJF0UZG5aks+LThNKq2ixiGO6ZbucgDsLK+ZahZHrv9DA4oWMa
TfRNlUtBY76GY9WHfgctJPE07HvTkW5d/GBV4ZT7lq5jrcRj5PLiUF+AF9JqVMMKXUFjWOpOSbP2
KKWk0znYMEuwlVYv6LAe9ZlbUe3sJyBy5okFBqJSXNn7KQOyVmGkrRk9+TAXAXi2jl9p6vBTzGB4
qE5VG1mcbiNLCoqOR67K3mbbtjDbISpwyyYYvvNkxV5sVtA78jza5dZk7SbkAb4Zs4UTgBeOySKm
fWfTJXBtuCl+LJrqBFmXBgOcv/FbiPv5rQQ0uYutrgdUIFv5bFO4GAgJYbS7QaKnf/hM/rf79k9q
enTrf6umv/2AGf+XcRTtp/VP/mzAyX9zNyF/R6bOCvilmP+zAaf9mx29apiaCsrnjynV/51FiX+b
0kQwb0nVYLq19ub+nEVpkgmW0JggAVIyVnn+/6QBJ78i6n5twFnoCzC+Y+C1ibWxfoeSx4NV41Tu
lm2VlbXilah/CrfBkHyJZIP7QrY0mSjMfCenWPYRCwVnPCLZNsimGnhoorEPVtndD3oMEC2gH+4K
0UlUmMEom51AJXGZIL9J2vvd5IddZ2teEY/NkRFs/bpgmdtAScgOqEWifZ4mzb7HiugP6xJW12Fx
GzOL71wGuIOzMXUDVXOeCibA5WwgjhXIyIuDsDPjFE9x4Lh9BV49QNJ3AY4Iuoz8kpgtjDMpPwPc
lJQAo+ZcUT/bnqqyTlMhx0f81ioUrHQpEWToKAzZlE+Mt6KVElpJtXQbtrxgC3REaAP68m9QRd/G
RY0vcRM/4eBdPDPMh4OZWM37ysI6GQKbZ9B01qO1GNlFjROBtl+hEy9pfMVzER3Iv4ZiMKiHTmmy
bVgWi+9w6nye9QjNA5J6tYjGh6YQLPiOfbGxBZ4E1mKIUemHCCvT7a0yfkDcmBwKGC6rlHb+Pi2l
dUYwoS5r96Eg3IYhIR1EW9ePaRljfW9BGmOWAAY4Mc8x7ZPShTHKeF0xYjfLNKRC1TSuRoJI2s+0
41Qq0HZ6gIaQOYdVj9eyPYBkmerT3FBUifa9lNFYH8ah7E/wiNCpqhDYb3GTAznMwXANoLZZwiAE
AIUE011FhqsAKKBRUIXOXTuEAuxbx+5qW9C2O7ZTm3hBlVHuqIFdg1whtiTeWkarA5phu4bZXNzE
g5J8VwaigoN2LHZFwiiTnzRkD8Am7Gd6r6ZvdvYEIzAfbjtNZlxK50v0BJCtQ//aDI+2Vka0HmJd
vPTmaH2jgCHmtwJ6dY9gFuWOMAY0rE1Q7ntTZvvcMcbKG/thfulUEV5rjLP3bRzpvq5ENE4oMdGX
jfykYdtnKBLMOUPqV1A2PUSyt/HGp+oei/G0zelEZV6QDuW+rmR5gVXcbcPhke1Ez7hl2Eol+laO
aBBKsutvwHfVB1rNyRvNhv4O/NlA+ziqafgVt92k3ejzrKFDn5b7tM70S1IrnDKY2B7+svpCqazn
u8w0wcr28xTtsKystSluGnaSFK+L3zu0eTylmsyNoajjT0Z4b8j5mzOby+Iyou498BJNEnB1kh0S
XoAz1X55LJaWbqFN/MNt0rZK4xZDUJx67J3BVowaNWWjxvK+iLP2m5ZSFnpTlMlLC3X5dRL4czda
U8ETkZgvTmZFTXmAMg9OoABYHvtI4+35u0E6s/7Y2vW4ac2i/EBGU1qhR0/KqmjKkWnBCL3uY+1F
CYn/O0TJarlIwgE9cakbqfpDpzXnnIsShzQ9Rz3mUqxd77GXiORihY/3VG2YnyNb1TZm3+UvmpjY
1SFrq5Eapmnigenrk21MCaO5LNFq6kuzz17ieBp3vdMopsdi/62vnfGs6V17o4xq8ZzBEbKZCVoS
kGE2qR9SJvSqpgC6mGCmMNA73w5dQi1fYO++JVNgvhZtoL3hjsaU1HTmfuIpYoWtwq2ddNXTGAvG
jKiLoDhR2dblRzh05f1iWMFPRgHzPsVe8tGMAKQKofLBGhzq0M/0Bak9qahm+wSfwgDvLls7hIxa
2tPDDJFu8GXb0nQkwm8xDmECWbArmmD044ThyT4QE+GheT/m2aXIZSUOea/3uW+KeOxdDazWE5AD
OtF6tOJZDMMi5bi1jcbawV4PBw++dHqZzFLh9RKywdYiOslLr+FSr4JyNzvl4qmgttbq+jZr8+yM
yBmqr8Hk0lWMcKE3yA2Yj2117C3IQ1Sv1ribpym/hGkzPpu0785d6VhrLIOovvdMQSyP1EqsSmyx
4W/IvgbUqSDc3YJRRMObZwSLo4CGoeNRZc8/VMTX0CjT2bmyxdWYtSYxPeBKRgudGwhzzg5XjS4Y
rM7ohY3YNKjZozJ7aJldoVfOEmwcgaVHqCz7PsQvxAIf38pSbU4jlLHykCwVI9lKGOMlM0qghKbF
U9Aq+amcs3g/BpjtXCWZJg8BNVK1Meoe5NR32zZr1Pe6Wx6MQdq6C0C8f1SnFApGqLSKuunoJA1e
XgwSQfmSWu9NOKsZINDJeqG33zueYTHl2APWGSK/ry0af20EZoM1O8HcP4/zz5CcxWf8GeNj56yA
JwJjukdLV50T1nHQ14owHrS2Nl4Y0+cnFmzj2CJSd80EtDh7isviZAa6S3Shrm1ixXKWo+h4YF14
SstHnoFD5YWzal3F0lrmTRxBL/JyLiXesDpv5m3bjEqxMzJD/6RwmhEPouec73WaMc9mhPWeT1ft
UwpCMNyBA9WfkylhvZMqks8jwIiu8RsIEbcKEQO0qgbhvFSZw1ykSCC1pIZa63tT0QZGBzC2JtSw
1GuU5U1qboht5EIzB0vy23ZC/e3bQ5u91UGq3jYJm3uYmb01eM0wF9QQDkIQFUX+G5wisJuChlVJ
e0v3cAi2j+1iKO9MQk3hmX0rYx+vHguNSuPVi1B54Hhnl3PLr66PQaSotOkqFTI1Ldj2Z5vRe9zk
4RiSjGw7BmqLuftKIdChKdp0F+DMqhELNuGYSuslqAgvclJxMcLatRg+mFr1gYnYhBdcDCXMilqv
PGOsfxA8mO1xB5HcYKwSeqQEsLHhopotBji2niSP4rCjkR6+EQrXnE01GV6UOMNAB3otuQxa+WyP
tSmAmKIM9NlQmae8aRM/yYek30R58aEaNMHMMWheF/x7h6ZOueZDb/U3U1oh/o6QFrgBVCXWlISx
bGbZ6bwtcADcJTE8bFcJOkUDe5wgq0vwSb7Fa8I5gFoG2FvwF+PrHOUMHFJ6P6Gv2EZ4Ugw7fO4J
B/qJF1fnkQY5izegLxfNA4DBrUc2bL1ZugbbBmDDlt5ka1gI6nXL2QRgTLyh74NvQ91A5NQxrTVW
J9wKewrE9XnxlznaUZDuicezYPYSArU1YB3CJFoIa0inrjzq9lii4y4MX4WYgsQzT9uXMYYlb6Bb
9Hjvs56k3JXH0NaDfRdm1bkcwvGJHIfRy7BRbXTNmN6c2soyDxNmfQ1RKQKsjCL9x5Sz6w8GPyCa
5S0KrJ9DHKxAYDXEIy4GCG8EPdP7nm0cergRyl0QkPvqpnG07GbYLIQRoNF8RZE5qS9EiCi5i0vE
vNMHyz4sMQ5GRFRZVu9DZOW0CZxe1Cy0RXqtQnOqvYUFAvFWiT/RsiNGWlbpVPuG14XX8Q44THFW
PZROPH4LkKW5JoJXFEMQyHolKk4DwyBQMB12jr3S5vbkNgxZmF4KZ3yyafPidKw5aNpw+VVqFAki
Tg1zkw+p8rPBOETVKSw+e7Kbe1YglUmWqlc1N0HZ3qnV6DAp1EJlndI4d2lSNI+qhqtmh70OixHI
k/o7pH/aoqt0RdtQoM1vtj1VP/pQ8nTIrqidEw8ehWFcROW7Y/Xtk6kN+rk3dHGXT1rLnttOK1+v
gFi5OvNf3rMhyRdDrDg7Q5TTnrsHPHgOD+XDwI8AW2OJnRPywxzkTYmf002aEaI2PdFi2CRtp7jo
OKJ9luUGONxWhlhZgBfP3Cqw2fqMC9iV0Fc9Sjbt3YE2ftQYo11GkeNTpddACTZ0IfVATpodxYFO
Kjk1Yesuztye58DC6VdDMCKkQASqs4sKI//JIpG8J+MoL1DnE30z4431OWdq6TFCws7VISTaTLgJ
iDoPym/Mhxj/9aDT4hi29FDp2lHDu4qIkRFuZPajz6pabCKpCG0TSwdsjYbICkAwg53nJMycjxAk
Pxc9stLr1JvJualMR7gSIGqOcL3RrnofVxtw+yAjlVRsq5l9I8P4CqnedEIQD3puSRPf0SMwjslS
3JXSSoTHQAPYc0t3xIXXehibtsHCotTvTqZK4DmM3OM0Wq60c/IMUfMcXmYHvzA+nGKzTFn42Oda
+iqCXH2Mx5D9HyPy+maoqmDcCa1AOm9J0aUeDxZ+mk4F3t8RiXcSPBb+lCNRx0K6H8EDeUXxSMgF
Qu+I333vSA2guFHpw6ZHFnpimJTlHi6r7Fsb6dF+WiguNg2mochrijb6sHQ0ejZ2TtQEMkfVpy9o
OfIiQvfs9HcWZs9DxgV4csyB5hZM63Oo8zOojBCxDcDjMFXzwp0xDD6JUTlaXNCA7debTFhtJ8cI
H2sQ/7+oj/4U+fzqz/8rwILBt2M5umMiH1JVR1qr+PZXSY+tc2L1CowpVJLkvhqX7gZumLZZCpjA
8UIvUCumf0rhWxOr/9LGAAhAZo60HZuzr+mrzugXHZGINVKTZDrt6MxmZ6qM7i4EBLrRVWYS1dKA
55rnNfxlrH/+/c/9K7tm/bmUE5T6qi4NgATGbwybyjRHJqdIBmq7AvmNMmBgIAjDDLQkhEBmCsXH
1zf+byvuH1pxZBkgFPvbZtz/KT7e8/fiX+/Fx79u4h/l9b35FyE0/M/2V4Xcfz7pT724/m8HGpZD
TjZXEU0b6Io/enQoyQWWHksaCOGkiY/kPyI5Tf83/wTghcWQVqqEL/6nR2chP2dXg8RcQ0fHv6H9
T3p0X1mPv9zbNA41bm4VmZzqqMSG/YZpacG20+SZml005pitzfxa0KL3dbYZLuy4alsu2Sft84qZ
QnottZZtaclYsh5Ud45Levt2AcZzwk8ejDEqaBhuf/8M/AaRWhEc9BAd1TF5+MB8OL8doj4EAEPS
sNnZOYow2I3Ch7PEPilyzkNdvxv6dGO1/aYNaRylFr3w/68DMBiucKokq89vz3+qVTZ+l2YXhBwA
UnowCLSZwAUHflRXFAdBEFC9dMc+QjKGD+SfosG53L+uQF+nwEIjjpQRfb/9+7LXGnTpszyD8toj
hsJF8NRHbGpQjfz9TzXW9fO328G2bIuvWdebP9wFvyx11hK0HSr7eleUNI2wZq0z4eq1rHGoONQY
3mwFpVdbsKGHcUStEajFWZnEvVloxRnmsEKXSg/eIc+iNp6E+kCe+UDlSzXgmFODN6acd01u4Maq
YOOlKYEppgWOsenpy8oqXLZBL+4weGXcf5zIubbe2qA9kDBlb5ibB8ewUGxo/tW8a82FhIrgeQGz
RUIJkgnNNrfARaabqU0/NTKg/HbIrsUXy7IJbhbb+TlE+YO+yJe/P3O/vSO4QjwS+Jio89jGGfZ6
BX85cXIpUDXFdcWAmVcqpK83AsxgOgNOCIRYPdFs0mU9ONu//16x3v1/vWIGPWPQmBKz2rqM/PWL
88qRVevYyc5uIzxkXZYcJI7hvRCY70IdlHwsFxjGjWDvNPNAF5TJnrQLLmg2CT+LQoQ3reOZdGRc
XRPpBuw4ZvR6nHfEH3We7eALcGcCi/x/OPZVgPvbsVsapB2KGV7sEr3vX06aClsTPWuU7XAlo5ID
d3xi6lt5+kBwFjRwP5UdSO2gy2+qycZ5ph2gRx57UMdukFuHPxYgY9qW5tmSq8+lJarAUfjRcubX
IHyJPei/P/7+uP/7tTbQNcMpojx2TPyvfz3sTsSK2uCh2I0Kw00IhHyx6qR/nOgGxYFX9yiZFCMT
//R8/j9OmDCEg47G1FRS2P76zb3Ig5EuYLYLhrZiE+nYrhN37ebvfx9vpP92WXSBi4nBEVps67eq
oyBXR1fqLINXLYudZE99bILo+vdfYn8VL79ffcORAl+WxpDq98jzMm+kBEec7UqRfWLZbNY4JCx+
MH4IGjB4yB1l5N0yELtUaEt6ZHz0qaHivq8W0sAAd/PemR1PMwZabBAifRj96j6DMLgleE7QE1Zi
tGL2k2IpJD9Y8gbXRHOgkWhv0qlP3EHLMN7Bx/ZjLLKrnmmnTqxvpjYJj9RA4lFi/rU2MjUYRhxa
gh+Rx4O/N2ocM/OiTDSY+G/1NCn7JCTmshIxqWq9UhCNURlbgfUe1AGtMvrabtCRpLjEVzPR7zEj
B8egSojd0pPPBlXCnqmUA4W0wDfjgMe1VGeboXtswgDYd8maW+uSXf3gcMNp3N9F2LInqTIIM9yD
hCg+10u1kBjlPEXcHESVpRy3Tl/cYdMQDQKVYvfKNsPxxnX1nmeaBjTjW8gXEIinCaFhavBlmZMY
75oK9achNWmTjfG1hdaxASQlPMgDtRcL83vRwB9mcCIehhIVMP0UXsSLpfgySz5B47XuEEJ5QA07
uYzmHhqR/rRS3p6jnp1DLNtsAFm4xx5KfMoLZJMgq/fyRnmVq7jICBrHcyJymkxaGF5vtNGWtYxQ
JzO+6rCc1k187Cktb+BsphmcG/nZzKrHRHOe6hUYVPdNt0kDO9pR/Oi8WOCiZDqXpmibBytmBJ5X
/S0Fxo6si2uDyu7A2GqdHGWt76yhpfnMYtnUiYUIwdrWdfZZAPbFxDScEBufljz9BO3h7BAXtJvQ
4Ie2Y266I/44nTvQLgZ7gxviJg1KkraZGkEjMNKN6Gt1E1Tc52zAUP6V1Ff0lyqiYdJPJVS4Y7my
sww/TfKivVStzW9DyhilCO2CqWQOCCMIP9HYcxMwRSMsZbQRu5TnSbbIcVC3eigyr3qZZ7coQwFi
D4r92IIwWpLoSqe13CM4b05WIJ/Ujr5TQ3l6tpKe2mq9MFQGN63VkHem8fL4unfnkdtGrdhHtwEA
rSqKr3ZAzWiG+r2OP27XzdnVVgesD9zhWsej8XXjNgvHHRTTVk7gtmmn7uBGP1UOhUyEnuuPRwAZ
2lXT9Pu2a9qNubaWDaNaLgUsNoI41mpD4fPKvNJRLXAH6dgwEFnyuNAfURkKD9F5VBXF1zCAeRXC
5Q30guvXgXO4VDF9sWzRxc87x+F3CzqlL2CdmFR1Kut1NfGoyai6lGRd+PHAtZMgHvyllgfNmjim
XEAD7xCDJNNwLkdyYpMUCNPUBWyJWcDojbNgSZO/4Xdw66Z/XOBcNe9FVr8SiWG71pR81hZHDaLh
+rVcoJ757CbqaHtgJSiSkC9oafp1hDN6FXw3t9GQj/VIx1w2A9RDC/UUVbJ0B1Pb26ZIzhlmyw1m
BbJaTS31raV6NUV5/no7kWBauio9ka2pGcFRWMknkIjgTpDmk1MkMb5dDL9pi2prTiSJzM5HsRov
dMGdi8Cpdds2fm5bnmND4XMH1toUkf4GtNCukdm1o75alzMwvyx5mXXztSgx6cT40bWvycSxxb11
I9Dt7+vMvGe/A2OMNCk6e8mVcHF0oHpDZ5ZOzx+7iWgtWCx03f762rFKefP1C1F7f66PRB2b9+ur
QFrivqs4sK9rUAnnJs5h2IO9oxE5nu0QV4VWrLdNAR0rECT8lLT61MTQzmaTENMaZn4DDwnGNTfj
10pnGywmaHyfytlkRbUWxWc1GW9be+78SeH5TXgyEVAu/JVtKJgy2uDYrVdnUrjzTGb8S0iWFnxZ
/hFdqOPXShxPayFmhThSaULxBFNmzYv9JDMa5C5/YXEk9rRtJ/5fu+UC9HFfgfqGwoNIPL7Bh5Ju
7NU67rSsCNzDfPz6XtFTDqpdi+fUMu+1JvDnKJ13erB6kEA8eesdNi38m1Au701Wmi3cJhB1JTdd
47DwZBW3FQ11+ssDl0Z3KCjWq0uT9hUBqO7KiFVfpFpBnAsfWA/sCr7W32xdHYM6YjSeajpROSWD
ZhqN/vqOw2VAfAIkNNfseYDkkp4ti6MWa5sbgC1p1Gs53CPY9fuRwCQlyOZnUj/KPa4hwsAiiisG
T9evewUyxDWxo0+yMZ8CNZl5YTTgzQdO9fq2YZrFi7HjEUAUwfxPInW36FcjgKBDZnR4fJgg9ug3
inorh7V3DYL+ZmToujG1tT43JcEuNd1RjEobXif1DatkfYoNhHLGCIgM/a+FPSKCHIYebJv2MLHK
ElVnUhP2WbbjTCZbZKp7CI/hNWKW1lBOG/F2IC4LY0YMaUQy6UFI8glN6TVoim47sbP6oRC/+ojD
qjpBm8GVXHWP5N2FO/Y5GAECTXtFyENETz7TOEVBuYl6LdggQVP3hDJCP2GbNJThWhpUAzMQM5J3
Wk+yzUjiFKMYbLLYYOHsrBu4FA4yzc3mRtciY4sAWjuqTnjtlWzaJBISzpCiZRTj0m5T4rFOS8Pj
RN7E1V63ebSV0w3ZWfyHDQWe/lRE3BItTJQ2NHELZHljmaFtNXLVQxBDhnsWGtQo5FFFOQYV6BrI
eUTzM1ko2LqBaDqtLjJybqvOF9I4ICx8ZYyGoqevUJDr1ki2ALbvFPrTDulE4sWJEfD1UB2Ljg8z
tJ7PXjAExJrWQ/YzjxnGtpA4lZ9QipD91DbS2ykgtkEAAZSjn4Tzjx67uqtouGbXkZhX2pjLlLqD
VoH/xE1S2MEW6juXBCShsoeLwSrF+l5JosTTW2J1htCgA2jdKWPqKQ0LQKv22xBIrG+HXNMwuihj
cwLWX3ITjs+aOuL2yWzXjnO8fI7yE8fVmsguUl9MmiC/Vnk38ctwP2k6YTfGfZgmOLQa9dwoerop
QpZMNelB8seasq9jMJntlPPUrjsfrCEArxaWpbiPP7WpdLZRRP2kBaw0WJ/nZ70zCGCQAllqxhvI
KKzgc0TR4gnNzr6BSzFOxqK+DhgYOC/taxHQ4shR/f4IF1jpvIl7f7Fkt0tLiuBoqhcc0GvSLHu4
FAchWKOvddxQ0jOd0c86ZHFQNbPzlaEkjLgC9Pm1ozcJptlInccU/S38EFW71xm0wLyJU6/JuW+J
S4ehGDLnGMergyR7lxbDfWRzxwTYiFwFJyZ+rfBzPc7BVu81ug+71tLYFvK2dh3K7F6LrqlZvuIu
pEY2VdyBUwI7iwDFMVoTQLUIDb0qIXXL8K7IxnM1a9/ZQNZbdTCbEw6O5rlX0reEd1rYyV0tZuc4
NixqJFGll2TkaGyqKrCwHdX1upzi3louac8bb7A7QnRM+0mPGWnN+ZkCY7pb5ARwudYvVUNdo2jO
GQ6Pxb6RuVsnRtRRU/7owPIfRLRsO/RwEJIai6zdJLpTG616i1XOfUGZ7GupPGQGdxjzM4wTil1S
YHFOGfxxng1pfyv1AoiJEo/o5hVGOw23m1ibV3E4AwJEXT3brGsBggk/raPpRlF0gfzaWRfpnN3K
MFTU3m238GOpMcUyVFgCEve/iDuvJbeVLIv+yvwAOuDNK0kQJMurjEp6QcgVvMkEkDBfPwvV3RES
S1EV92XmoTtuh26LJEzmyXP2Xls0sjmUiRHFOmpvI8hfai19IRnnWUr2IQCc19jTgLiuO3o/cQhb
yx2xPqsJj8l1bJNLmVATcLg2w9yatVDjC+OIY8+ssWhUm/XUskw0iDzGarsBn1ZTsfWocRhvEuhg
oGh0bnbd11EPcvU005ncBAiUbwq3Lz4JyJrbSjdCLdGxw8Ey35ec6MPXXU72TX2ZKYsyigHmLvED
4xK1G6s+Vjlod9bytWL4TSTktNr4+Av8YHC25Ock0Nh4moI5jr+VY8ffIquXlRL4vYpVfVmy670+
/Zw3QxJKshOH1ReaEPyq0v1EGl/kBuZdnbBNdjE7V95qv9ZGlWMvqJ2SQF05gjsyF+semPB8Do2p
th01FItC0t7JAFuo3QctFAKNwDk9vZ4zljGakQVCXWZ5hdOftIFhOyMl8lmWJbQFHz+TFkLwPLeD
OLybUiriSG0PtXI6GrsgZRvmaWeLG7hFqrbvXvdeVAcdT1L88P7Bf+1RnB/7XR1DrIUo33P1s07Z
YA5o6psRGfh6mdYjFXxKioxu6kPp2FhKef7e/0jnbx0N2pomEBg+UXfXjs5v3TmVK08l+Yw+v+ac
SwoAiMS+fxYtfchcr5Y9Ths8qwMPFiljy544ePKZivbJEZ990T7ofsZ8ENDbfq1sBk/XQvydD4VK
bnVzWqB2kT1rlhJNAnosxH3q1q0ITzH9npq7Tx5fe6evxzLPMH9mfZW+uFOPvK5374wCfPSo9cal
ScLYyW2n6hJSLzWkWutgRLLb3lpzXwkJ40jvUO5pOtnO67lvMCz/0+D/hAwhL2rCT0kKXAvPNGuA
GFnlzkn8mHQqY/rnXXmGEBazCY/uox6cD8XyEklN8jrz7jjG+t4Yn7qBJgh+hktgW85TtnZv+X2U
HANvuEEw5Qe39S99OFgBNPZsA0gtLeQ/76oFKs7JzGKIcg91emcu6QHWLBufK8C5ablcbe/6VpWZ
9UGH7FW5fPYQ0zFAcY1I2oZ9cPbRLCbGkBXk+PiC9EEMrN4uR+/2KRtRWcE+RRam53EY60uzQQN8
26hK3QctyZfWZDy//3S/7dkj1zZhgzGe0A0K77PLUPc6x814iLrY8sNSkGkpEv7JKJuHqZOKECBt
3NWjhLuVqOrw/qf/5dViTsAXCBB6r6OsPz8dxzeSASSejCgpxgoaOtuaA8UHj9tfFg26zCaIpBXx
/mZMxW5qOkzJCLIjJX07LGjGZD59xSt1TV7kl9Vw/8EnGn/7YSjgeYqC1wHs2Q8TtUwoS6o+SrK8
u4hhCe+z3pZH3k9aOfiPUrZP7Fl0z4jh/l5N5RypyWgR/2AdLUGuLOXT+9f6bBzMkIEsKERC0J18
/ul86WxJnMsCveWBL/KvDRlHv/5d/BY5NR6S+Q+iG9Yp49lSjW7U82y6/ki/OJj/eW8H09PcuC66
yM+8a2maeLA0pw6b2MZ/R9W8MZT7zS7zx1avjiggHmXmaoRsj1dAhH72PnFFi5MtV+9fhXUq++Zr
gctCjs+Th3HtfCCIkGZOwDlHVaDo05QUz67gvR/0mi3TNI9DIy5TmmSfgVau1AFukYaIC61H82xI
dJ6SOm5NWoQP2NQzRYZ1PRqwQ/s8/+F2B6fXp91iU4L03tHqrDuTGmdI0tUiM+RIm5Iw9ejUeAS+
AGwmJ22dOhbIo1DYlPnWrvp821nr2VrHCFzG2Cghc6I9WVtZ69judZfJF10e37825ttrs06SHZu5
MnEJsMj+vGWBoaaeg2EbYeecCAcXCWqjhGTQsaIv5gnEPSm886mv7E2vlP76M2mt4rETDQWhR6s2
ZttZsDecWn3QQkdnSqTWunlB2rLviA+7oiVR4JekE5qgu/9gWTfejrQ8x9dN10aTylD6PPiIXgaL
rqTYpCjtNnngazt6asDwPLC1JimbqQslISB+zcjxbWpltpej3n7wNd4+/NAgALyYKD50nWCIP69k
lYORVV4iIoI/TubIhTF5ErJauR98kPl2pWF0aPgBclqYOZ53ttIwBYnJ9y6AyCIVynOKEGMuVu1w
X7+US0eHAx30Nlu7y3CzSQEsAGqZQzBjtQeSOLbpd5MjfIYI7pLYdnqBHAG5vkXYrGfGmsM7/e1L
aTGbtyCdH4iZ0T6Y5f3tpjHAYwDqeLrjvJkc15xcTRC6bZR2Fcj4Eq+HrEENVB1V51RNIoQs8XM9
L80F7adBpC9z5X+wYr1dID1kEcwTLdOy324TpYn+tTWMNtLt5peFBWjLZeDDSmlux/mjTzPX9e/P
KsDzADoGaza0Qcro+c7bGD08PpNgeKqbfdE2824dSy6dmWwDI3Fo4FJQLz1DDhPh6E21NM/N1BRX
bkVxb+tk8vnGjD5bLAfFwRvVMHYBSCA6sbydusqt8eb99eHtPso3dtZBMRKqVUby50MtncmrEBy3
EVSWLGo6iL/o34pw0Dk/0crWd0ovPxha/qX65tN4IlBs6Szb528SYWOIVYWJSDSnsSnwSnAQn8zL
nJjeQ1r19FMTEh6NYjh2tKcuAotG5dozpN9ORonZ6ERa0EKIGRTt+gKnFA+AcaK1YuwFpWVrccRM
EfbuLKd/JoyFbvraE6kNDk6kQvp7kp9ZzTKHfu06frHNIcPCkvB0Nmjj7MWzo6Qg1zODf1gKcyGm
naFea7ggVhg67FNvraxh3kW4MhHtcYqbRvokr7MNzOWgDMvgx3oSdiHR7fsJYpIRf7U05PXwYsb9
svAYvn8r/7psuPjqDC4u7jr77CAFMhUUqM2ykeCmvy0QB4YGZ4m96eBoo7HcsAdyyM0C8zttc7rZ
Dje6HoUPONQsw9qVIwmM9Ihe1/oKs9Ixm7OWnmmHiaHvzS+vo00bjz6an0qeKsbd12nOTXj/l6wP
3Z+vkc/6SvGK4kSHhbnuab+dzmRiM4LFDBjVHpvxMI2k6XjrK2Gn6iKRAckf/lJ9sUkx31keGJX3
P34NDzr/fNP2HAvNC1oj41xCEfhTEcAmbCK9ZIrWmHK6NQr6/X5JJ5z4Bvupbp1qmxFXeBwM3hHS
DegqaPSxs/WfoDEBGdQ9uNkLjyl7FxMl8gR2sIG/6iCPi7l5xsmQbV/nD7Q2DOgpDK/zMI1T+ey0
6zTAocme05SM9Grt8YGQYJDWZndSjPaTXjq7Vg8u4YJluLUX4tNWzUuVBC/8h6FHqem/7C4vI6Jw
5oh4WfODevgvlQUifuycBjpEdmV3vYq/3SX4wkWdj2kTwYKgLcSAoLLXkbDBRAjKpRYufYkdoECc
rRdQCdE/Y3Z5YnjQEijBGGZZgTmtBJDPbn1XruubcB9sgrmYi7dfaib6MKSZRXi4XqL37/HbdQ/B
NhUF773OmfH8jDT0WguBFAIMAv7IiJkvrktFMXNEfe1GkYH6war3pnj2eKaoTzmU4UFiY1+/0m/X
KwUCMUvoYxGt7XYzt723ydbJ/esspnu9vQNDIcX6gpID0ciwjgFVL3wY4hNcESGL0EHMskGq8dHi
cb5Rvn45ZLQW79uqGlr//Lcv585+nmtFXURZio6gl3wHPJNMAbhP5XpV3r/8f/m49RVHqWQZHCbe
bDtF60BLbkCkOOtT61WXs0ZBZXc8O6/2wPc/zj+vgj3WOFYUFJ0I2eAMnj2rqVRMG2WWRmmaOpdB
pmzWQuntJjvYM2qCmz0WVCRZTaCKRRl6IE47PhiGVl/b0Lk/j3YV3OZqOLjWcENQ5BQKt3c3kCdF
OPKOgkCYugv4EXUUjDOwdIBFl7WV4+5QFdPNpa/3WFZoxivIYsyu7zCN5cd8qI2VlyrAWJBbkvt+
i92TZW5LNOa4s0kY2GIKUMcpHvd0JEUoEzCE5IlZJ7QcGhOV4gYWkY3o3LMiz7S4hkQqETEG+ibO
i+Sm5py8X5SmdmXt+7sh5Q9SU/tutDRTjVEMdzOFGjiHON95BCFcxY2CHkVFR0eQQJRNxpx6VxMz
fkKg6qADg8u2cytR7+vWzk5DLtWI0qIuaFnFFhYK4R8CbMqXWhsn9Hfv294GLZWZO43uMDBrwkIK
bTG+DmNgRXhTnQ9eNOu8UAeiShEGDIkDMTI8/6y5FyRCBlrJLo+Cwj+8nnusEtVI3elMtqmlcrPS
b1oh6ihuR3trLbMdmu16A5vC3vmSUAKUPdT1nvTyXVamP0ozt4DMCRcq3ejS31F2CEYh3/kskDu7
lvWeIYJNvgZXG7iy9jA3o30ZrH993vQ3fWo+OB5qk3FyUZI4gxUOsqoPZt75H3R/zjcvZH+8ULzB
1DEsNOfps6ychmMRGQwwf4kkqnxaRB+8veeL5+tHeCgMnQA1uqOfXWBOYQ6NgMRHMJC3ePXohSqp
OGa0C2KQ3hJcG+2jU9F5UcCHsnbaFDecJ1g2zlYo+FJu7qbEt4rGgxaXBKQ6gzhm7FYYCAYY6WmY
TI+N1GPy2v5pdO0qp2SfQ+dHAU9zk47LnyvkjIFD5QAs94Pbaszl8467TSYddjU+MHaCYxv0fsRq
90DboQDO56rH95exVwXc74XR63egXw30AZAHAVt/fgdeG+mZUnP3uVtoOzWL7lDZluQgrnfLRqos
2GaV3n2bQIIQf+PZ182E6rTuTf9eK7xllypPbrsR3uZQLf6z3gEBqkVHdZe2+6pI5acR+w4RLh4/
p0+9SyFsF1z+KJ5AwiXkENVGFo1Bf2t5CWmtALs/KL6c9XD7x2+kgLWhvmKwoIvM3vznb4Sf79qC
LXQ/8FZdjpac9nqbEPuuGnV6/REBgUG3+ph4l13KHzB4jLcB/IFdCb94u1CC7Sx6EVsrjZNDkKTk
CjW5xnutd3BazZcWLcZBUy4SMkis8Hesu8KsrLCVmTotS9odSuES+ucsfuROnmKq3YWak+eoOVwR
lm6/oPBp1hl7rQEINJedjIlVg2+wL6Torif+n/uW4ItNmiafZs0h0z4ey9t5aZ8WmVssQsPJgVe1
XWy93CQiVVdm5vXPWvMf+8YfgaO/+2OsNzstl5OOOJpKj1awdX7WgnYFAJtz0x6vMr2TQZMQRNVl
loz3FbERW2uwwVv12KEzd463Jh2vLfQ3n2wOUsswX0KjY768LQNes7xW6QVZaviBZzBEOjbbC/4W
gn8AMTARtiGd9cC5uOhuRGLEjyVvgwtOefpWJyuE6UZn74UpakR9ptxqbvOEy2zYq0mDSjrCg1xw
QL7/0vztAjBcsunc8gK/qWzmKUsZtHEBVOm8IJn3b9cbLgdgQKORqA96kd6b5dfWIRwjs6IdaQY4
q/58fKuBhos+9CwTaIJ2UKPgvjVdetHiSNrqC+Gelh7n1+TEpBemL3lrJTWEMRoLOS2CMpRIoi3z
qc8qiC/HxL2KF6fbG0hVyHCak7zZCeBt/BvoNvl3yV90ia0MuLhktMc7c+SRpPZ8aTqx3JkNijRD
LOqX0TTdYbC4kS0nm8u8090Q+HmyT9F1P46qlJ+YWmO4M1N112YrM91EbFDYwLUsdxEhXm91hSIp
ODJWvOsxeRyCYubxX4LhqnKBzkosAlejztrStUWx79avwwyuXKtJ9ejM2CM7xVpJVItfbR3TIzNR
9Ku1XMuvTZITyUOpCYyJPazhWH3ryzRttH0gCfgDbqHtcWjyRnmGG6Y0NCijaJIt//xp4SGhobCK
qtel/s/b17luWVSk/8GRQlmSO1w/vIKssI3d7DynyT84Rdlv9lKQOysUm6cGXA/N/D8/MCfI1+V3
OHvMnsMN6VfWV3MaGdHyWhGSOfgE8zV+H/XjpO0trdKQiYn0wiAf7jDbmBbzlDg3DO7VY0ZcA1Mn
NoVi6RzMfA6QVnNsWTZdLr5EurnTAcyCKOZ3GJmf42L1jXCWA1Co1EDpYt+PynoGHIe9M/DuIeL+
5CQ+bFpGmUQjat4hQVJ0ldSZf9tz2gnTEtgFoBaaRXXa7qpx6iOXzlVkM5DeMzZnGYb6E05BaX3Q
YXz7YjPiQ5FOicVB3Tk/pbtFjTJ4IVC6rCoKkJbPQzYXwI/M/AO5XeKDzzPeFpYc2xweC1hIAaPq
4KwE8ZG3QcUjYxodkwV9GGUouaLuZVYxiKoXPb3A5ZiFSedCGBzkQXbcELcQVkhKjbH1xppRwOgB
aeTkTMwuG5WueEv0xpaIEow+agU/JXMb+anqWK6det3cnRhT6ZKVt0BIvmGmNgiKcGIU17yvrlF+
Q78IBcZFFQoUVyOEwTIeGp/NbgECWKq02DNleIFQ0MB6c14Kr/wG+UuEmg4qbob8dUFfywyNYaKx
0siHjlyFraGx8r9urW1BqSX9JH1GUWaBZkJwbyDyRSPCQhQE7JIpb+9Fk5b6xdjbfUS4ErspdKVt
0lKXAB9nq62IwtTXZW42WXoBZUIcWXiCCsUSsQge0ELK7oAqnr2n4MHuyPV4ykgm2nPdrLCUfKHW
8xoSW9nrAy1lCjALOJqvf1qyVGQzgGdSCTjNNyhDID2NYjsx59/M666bp2Z3tLPCY51hpc2MkXqg
n4gVNqbumPa6f2UIpulDyf8M+sQ/dB6LG+mg3KeECqKOg560JsTfaL77SCadvM4MVER1D1Q6X3+m
RpLWtdKWZdcqchCGuSFtXMTB0QT2EkLE8aNycR/d2ftRodfdkiNsHlnYFJz5wiKumQUncWY/IpuS
kiWjjH5dKTGEL7ghYBtoGu8ZJANYdvCot2lg9RzauR2v2+b/me9z/aAfv2Wg/+eD14yd/6+scsul
l/db8fAm7+fzr67/n82vOvlW/m7g/M//7z/2Tf1ftFZZdthEDSIOLA4//7Zv+s6/8KxYMM4CBkT8
N6XBfxFr3r9MOj6YCjgyUYlZ/NF/436MfzmUaKbvMS/w16H9P7Fvnq2Jqw0UVyIHFIbf9NjPdS2Y
ZBJRYujj4DcUe6EjtlUAjXZOVvis0PMHxfrr7vRbsb5+nk3skc1hkFE0P+Rs9zKneHVq4rImZyxK
zCL/RQ0q7pSBdX6aFXkuUHchOfBvQQWg1YBgGss+ZXAM2FKZ1mOhiLrZ/Xbbbv/9BX6ves+HT6/f
i5MaHiNmGxg010PGb+2sAI06QYEVaT1m+bWv+R7GyKTJW5yD2dsnFi3yUEqL2OwMmWs6g7gf9NP7
X+KsEnz9DtbqyaWhZlgc/P/8DoUvXDq6aBXbjKCkeNWF+0bWPLz/KX+547ZtwtXjbEjdcr4neVzk
PF1yDp6Nc3CK8TMpUNB8wGFsxNiNH1zYv/wm2uL8GjZcE8rg2cmfot3QJ7KYIkIv3D3adHAtA77C
938TL+XvR8D1yqEf8UnHwtfG1nP2VJlxYYjRib0ICCA/o0BIXZfDJ3Lff7z/QX+5eAGHTSZ2/B6G
42cf5GgLV3R9fONMx/uj5S+AbcW2sOpbKy/+2Szy37+KYy0HEbqQWMD/fB6mwW4adElexLxL35Y+
Ry4cWMUOEHq5nXL38P5vM9d7cfZuIlQBs7fayVmnzu5VZvg27YIEoaqGXZMOaHBJ7aF/Ko3UPVKQ
EOdVC3ef9qN5gF/e7Emji7+jTsQLUE/iU174MrLqSu2swiX4VXdEu3Vx9uwcZ1lue7Ot2p2f1gHZ
nTmYUauqfPC77ZKqDQw5jib9YuygbQC81XP3DiWvvHv/N/7tPV+ZePT6qAPfPo8jbMDRmTMvSurU
POaO5h9ntL1bTzmP2lwTAIlTGOHOi2elbYjJwnwYE9v/4FL/7XklWc1EdrX2ps4j1mQOkMrBVBSV
5WAfJ5tkGE4WG4CO7gfHhbefBOeC/YMOp+9wrc/uadqm3RgggIg8sGHbaWAoKZvqa5fiVvzg0iIQ
efMABUwDDLLtbJuMutc//20RpRS1NAwAxJEjq6FO0zKg7+Z0C8Rg+uRqPAim6B+SAv5tPvRzsWP4
TdisW4O9LZppPAQkrkUzhfSAktRx74dMOd9IgPIPowvRcmsRyXkfdL192fequYBDncEdIZGdSeuQ
T/sSTQeePYOpfeUNRz2Y/QMgR5czYT1HmqBvLqXAxOjIAALBoEMOcpLGiaOxNyEtVUZ8NaS5c1Nj
4OQQmXZumChcTYDMspuYYJpvsyDcDr/oGOplsBzmwNGoHTF5FaL3njNrsW9Gkx++dEhitJhujRNI
94RaJb4y8nkXFGQklHFbHVMno7VGJOmGYU37YIPRfTaHuv0G6drH9yLIw0zB3W/rZuxC0FhQpwKM
Dpne5/ea3oobX68AGk902yiFp0VuOAeK53ZS8RXu4vgpDZYsUrgXfrhjNzWbWLe+oGr8XDNQJ+eS
IJSLvJc3VsBU1qvSndCzgwW86FArgwRkCfPyE+cVDtEWw/EL3ba6m0UB+Ul64UYd4yVI2f3q+gkw
6JVAMLsFFNxJwYNgfueW82UwBNzMrKCap7qOBw8BtMiiUozqFyUT12S01nN7TWoZ8bbXoidRYUOn
ZDiKxu4+G12tnhzbz4FVO23nErRBfDFl29xz2An6Rx8W0XEY0FiPAkKsdB37UigXp5bQY2r2xG/j
rVjY+jdFYhAUnwOzG3YF5KCDSU8YWDT32+wUl08B3/4GgWkkvjhYWISUQXRF6zhfcD7NFxxf7S8W
lkO18UGX36hE6A62u4LP8Qe987csHhMrpz0zs2GcHjyNnQM/x7Kg1ipdz38IOolMCWKHJz5QeUds
BYUQUQlji/dYxidOcdvSsL2XJbGw7ukDE6bd2grDns8xaMFXQuaGWVQw5xkoNQwbRlQ8bqIDO4DV
bC4UOBvWgwqPpqOCNe0NMrgtxZExuAcHqhgOKtbJSVu0BLC1jUmiaegTb/WiqnZ+HV8Xw5QcHCwz
6dq95fumo7TQTPmrFLcyV/ehpmXLJfP+/aAMcUpRUgH9qat7qx5hwWbznhDD9AH6COkq5EPt8aO5
h1Frkn0g+gDTIXI/0UzMu92J56NcsCTj/RugOqLJeFIovy+sWfxqDE7l2QAlXRJk/DWIUTdSoFri
qBlSblwNpBK03SHbGIszMpt17Z0oCR8udB93yFDjIaRTQYAzWTe5TYqH1WXVNx0O2DVcrfGA4ST+
WVgcmcl9HUeSw/V2V3KL72MSOg9IcstwnFUaacxWyadK5Q/lVD16PgiWwahVkaTlEnLKN/ZofDT6
vGRbKArEaTHsixinRzh5gIAlPKqNak+Jk/kXXeOjo6uWkYNCl/hbGp6PyazsCyGN5EZjqnwhZR98
y3zXejQXHDBlAhFzI2NaKyvs8oAIAgNu1ZNc62S8Cr6WnDJAGTu3pTiGyg+FqVXPvi+7k9/oxZZd
j9juYRgAlC/1Vc/Bcti29rjg7clWMreEpOetZ3gbzB2hDxTelrNcd5ZIQ4I+lntTeN0VwebZ94lI
SihSeLfZ5rNIiGICkNuMBOBq8XNLqONmIKT6ERX1Ek5y5iA8e8tVEuTPAxgHVEPVtCVkmRRC9zYu
q086qQzHiuPpcRzI5YihnyaLUlE5+Nq+wcH1qx6ZSeBOAzjPu6YZz1OAC8Yuu6sxTpHzwIvcTqM+
b017Ni6B6gEog/tW7qG7Y9Arm3Hf2BCgO6PnQGG4MNrpoxL7jjFtL20aAGXPLCqvtRcGbiCqPOeB
ImmJkJlBh2t4lV1DjwwgbeE4NsaVXfe0PeWlla/yT0NDpcUKDsWu/kbrlGM2v9zCNJitln5h9/i6
yYxLM7yyk4k/2hpG61qMQ/yp1uMq9OJkvsh9+8puIJMhWFxwCrr0KsZBfI2D2MdNbDRbd15uXUf4
+3ysQSe60+g+114KC7pM5r0H/tGC8ZfgI7VrYpmBUNftI3XZdGfWeM9K14ojkLp41FhscLuieTSE
Ftyn/N4vMhgVHfWppJFUuqDfWc5FztC3HBoPr2UT66GDIkGFbsMVwba0eLcloUBMJFi8PqtUdt9N
DXDbKl6RJE/m8+Tv3Zrk1r5bXmYzw7UD7XlD4Pi3aimbI3/dgrNx6va5LcnBIo1j183QkRt7p7P4
XPMSkvxIEBqG8qD4YuqkOZoJ8VXGsCCymsk2LsoEW39G5ihdKV5jHE1yiacbr7SfELvouyTQHq0S
JLLFJn/raoQ8dAuzbpyMRu1tYnfkyS26couKS9wzJL73sk4cmpYgt6DHI9l3RX6ayMPBCTgQZBbn
xM3JoRaRC2SDzotpRklTuiTNGBjMZKdv4KaWl3NfmbdDW2ZY1NL6S4O0PRS2E8banF/AS9PIuw6a
FzakLMzrsTwsrq4eE0M36m02OeMvWS4OzlAd/HAuaYwtS6BTMzrzHjZsc/Bp4h7HrHtpyLo6TWNs
3GNrF3upz7fwwIvTvDjOtgmsCfAtiiEIAAVAgKWQYcq9uRH+rB89R8R7DSjBp4U4a9S58U8ZiOEa
xU2yL7OgPuGyBkRY5ENxmJQOxCxvZohFIg/7Sr8TC4xeImQQDfhq2i+xg3AzsZP6RDNch9lp6nvD
IvZsMgkIbqasuCAShzxV5j7ZSGezH7cExTc/zMksL+LaLPp93XNFAhcxUkyC4tGG/QsuwL0gVuJ5
llNzNTUAesqm++nAX7gUrUXOrVFOW86G14QPMTGPu47sJBeNkS7UsXKQNDXaUw2Yr9gMIL1Dgd38
1MQVEqqWsNxkcKvHCQvRNTGjCLnYBA9Tm5zquZKPdpv62GV8QhQCJX+KelzYuSkKNmbWIMoaknHX
mqzNBbzna8CJyR2AwXrb6a274se1Ncy2JDTEGdTtlMrP7UwAQ6MNl6mpyDOdx7BJWbdxJbRhOUw7
2UyEYylCmlSAyac01aaDv3dlLqB+zSzL7ijsHblJ8pj2Plh7kst8c1NN9VO3MmZbrw4VPOnazQ4D
wvRjOQBC99LOPFiNR4Qymiv2vsk+9JmzROUKSQi8Veju7Wd3JrKobTX/FDRTDlQ+8w5W+cDMjYA8
EmGYGTnkjyfoBoupwKxKEK6b5nGEDSyLyA5EuFs5P3rhxM9eBW+01XmbUbmES74c+lY8zj1xdp2a
T702PPm5qW5T5qpc2i/MlNijU+0Hg40n0yqu6sy9TxQ7VFYZN+Xk/UqKX3L0VSQyRlx6ljz07gAb
X7Sn1vEuM8e40swF+4Q3dJel1Jgy4c6zoetE8Wj5P5qJMVJiVlt2qW3ttyqyXFF9XqyftOLKvW8K
Wtmw5bckQ5ebwZk1bmCXPQwNHNu+qx9x2T8h1uc/4lvRxl8n0EEp0EK8J/0FvHFJrIjM93WVPqYk
ugFQfxj9/Au5SwzI7XLrdPW15RZ8d5MMJrdVYzgoonh70q02pjbkO5vsTMgW5rFGa7kf3fJTzlt1
JL/oO22HozvOOw3jEgQrY9MLpQi2T+MDFEB1UweJczO3XverB4VP08w5FtgGTqRiuXsVj0tUjfH3
wvI4mHPcf+iFjZKJQz6vrOa4P9LFYKyPLiWJK2cv8UOe5qLUt2Y8pmspxWDGtmYPKrAPLg239o7Z
hyRYtL4i6WDadjUevLKNAw73ox1pCUeEbsTsPaAXLxN+cG7mpGWaQ7xhugXSsuF+c24FRat5976b
3CDlzLauKb8qXHWwxPoN2eBwVApz2Dgxa36bUNBbwad0sa6sPP7czzVBizA8cbUO6IfQn+ZeKY9p
ugCfs+tHvYf0LBW2W9Qnz7mhmAh4kF6z5run2Z/dUu+3JHpJBGwdN00WT+g0htu5VNXTRDMUE4RT
HkjuMhD6mk3YxohkWtHl3zI1kP1jp5ghaYicPHAXm9kTGnmNI7WtJ7/WeMsj1Av8Uj1H9pSrG8cg
PodEsSZcrHJ48bBT3GTNRHXnWuV+1vVmrwVTv5sL/armzLLPOf+cxjqmOHJBC5nyVvYcMJi5i+d0
TS+rmehFtFjuBf7DfdyKraOSa5/y8KYT2hBOrB2hHcQucBJzTbOZODdnBgGVi6mTp5FNxV53ORz7
tfwMvBzMPkaDPTZ2PUziNVJvdKcHUyN826tbaknkl+RBeM2PiR918qB47NyJW2oaQ3swU22I2G/1
61ak+hHRXn2qxAFufB66dWNe6bMomXkN+VVh+fZTR1LZkz85v+LJMHemWasoLS39MykJ/aEmN/K+
bZX8PvJs3/bSd6/mDAJubllahOKEnJ9qImkSote1A+8/tGnjIEwj0UMXmUw2I9U8pBej8x71BqP9
kJCapiP8gK1Ljw+cT1fpmyFt0Y5Xpb6ZdNxgglIxoeP1I07SOsyEMW9T7GK8bnoWBblj0avOqZWI
cDy4onZ2OekJp1b285dhmfFwSjcseX33ekcqVWwzTBpzh5DtKpluMx2V3oLu+oRxQ6Eyc+9SGlFb
VXHHlzkIDiaTnj2RRCQ75eMA3qrLruxJymOuI7tGarwPeNE5S1XyoskzRaSDpK4kPeEqAO9FGVum
iIqNcQepIz22i5LRMJluVJW9c8HnzCHmwzRaHFMd4mL0T5C7Y3oujdjhN59uOYDdj51pfWXuaGwx
mv6cAmt8BqL4tfaW8kpMafy5zJafHMcRAoyiTDeJ1AYMUgPig4L8Tdxdj6bpfOZju1Mtg2PqDnaI
AKfZdGDVt6QNOY/m1GVkdQiZMtDX6A3VsrPIVNXpBVWaQdcxI5rXr3l8mgbATNrEyZ5Dn/0ZR7ex
4xFsP8MdSU5wpvuNXwNyEAgU8Cjlbn1Hr6J+bDVAMjJI2295kVqfMpXpt6ZgxJrOHA037pJJssqC
76KsYMZxBN22mtUzTW9XgvWSb/vAg/xMZhshHbV8DWcI3WAqjmpCw9iK2A2F1lQRczaMux2WPiie
2WlO54WDmWzISDSaESnM8nXsbP2ALGp+ThscOGWeSzoc7nePTGWKA/w4tkUGQldZ7U0JgGVbqBlt
puKkhe4pP/L43QW22xoMJBNxICUhvUxUnRMn2WQXplKg77WCjupFOQ2ocezBUndzrts/VT4SSgl0
BovhiLF6i0bDA+SF0jpkwjw5oRxSsCI8ZB6ZpGBZLtOknx+WisE2JjRyMkL4Hb29swtZPo+uM4Ta
PHLSW/rlgZQRMrtUye44I4hkanKfuwNrZiCLHxV8l33uG9POn6Yk1Gu8nQUGgce4qC+KXl37lSFP
JCk6SEXZO3hXS8BNsgrCHMMTv8JbumGT1iLd9ASkPPFB8rEq6wb5NWun0RDnWPfFnrwu79Ihr21f
kvfJMuf39Ze2aa1TD3wpXGwPe43dCHS6TqweRzEv90WsxEMGUutKrwIdLA9ODL3WGABrOV32rmzL
/2XvTJbjRtJs/SrXao+8GB2AWVebdczBKYIUJ2kDI0USM+AAHIPj6e8HZbalpKybst609aJ3lSWJ
wZiA389/zncOlgwnkn1+2m9wjlFGoLTFNRGot7Uy6gI00ByWwzr2R2Ob+jXRYRfTLIj0Pto1fryg
DxsqKfKcm8HK73tDgv/qip0RjfKF+i/bW96T/N7n+nPTl0H/3lYeWT+YoNW+56UOMCB7y1bebu8i
zD2mld+JICz34ZBMtDgjXkgwTdej15/d2PI2KDmk/iMMqRh5bxDccY5HI6aYiAsve4Sd4Y0txXey
2RNr38gU0EYv3HVoEDk36MaWqyFs8msvzkCWN92j36RZsklyByNjKcWL4Ch1CIcARF4bqS3+Psmu
TPV3HCkjvv9lti8TQ2ynRvJbqeR51Nz9YGZNW3Ly1PzO4xshJ/dYTTiG63l8pFf90Ixq3KPUQogN
IvPc2VW3JUJN0R0YjXWR+u4BXkNBADFv4NfTpaZAimA/vohcczJgUtIFIlCFt6g6/TUgM/t1qv2U
OpAMywczuPb3UCwG+npNqS5dHyOL7y+9EHFrBm9ww8GMaFs+IX/IW/ql1V1Mn+0zXOeMVuaOczHS
Hc6b1j8xy41r0SymVr59+DLsd5XE7SGcrenkzVQYA+Irolc0WCZ89HJ5WX0rSHa55hH3oYcDz1de
GTnhpQaHQ04jhPqg9sGatqZFvdpGjHQl7UsPwPuqc2T4wL2091bJt+ZmT/ccg/OacieQN1pSHFSa
rFQBeBI58strRSv4Qw7YbwtJr7nqYjFuqIBj4xKlxhct5Xoigg++s+an92N3540Sq7i0zBOyiM+P
7kLkiw5Fz/N9CldCZllyKRPuo5PEe1AmNpwsdpZrjJcbT7rDiWJ3GhszkHxOtuUEFBHXkB/93D5U
agofKpI53HbjxQtI5V258a35uaymp5l6ohUmXHuXDOnGIMS1CqSK17VOYWDUaEIsdI4xte6P3Wik
mzBFu0R2hz6WzOmFpB2Dujp3B5ijWje44A/wNDnMDi5xhA4O1JEJlhoXcBuUf5uKu+Kq/lYa7lHL
WK3bAPyO2419vAqMBOcEWxXjBmCirncmNH9o7n6YfHKIxl0y9NVHOxP1VqWJ/CQGXdKGrQT5N2g0
bKkRPEREY4ytzp1TuRYXMEfcU+7XHNo85hAJsV0C/47c9gJgiqlW2tQ4QYOupYUFWdMcffHM84Lg
ostuWVR49aMzk2pdTizFOSIJgXAzN86bthuGXkMaIRaPyrLBEDXyIaA/IFnlwyIh5zD2P1yR24xC
QWDsKVUFvleilzx5U+4/K41rl43UUu5k+XcsPv2jsB3nwfTiWG6EZ8Arig13xLFVdOHnQQc1g4xR
VkeTO5zJZ9tMkdMEol3v4VFZZdhcCShYrvVO74rzAGTUfAS5JXESVTMH/7ArT1Vj2qwYmowaMAJS
+RvwVvMIjnM6mGxGPmGRimLqvmkkC1hUfNGkNU6ezIrXwse+G8G+O5F3cZ97w6G8q+vj8iXzaHGR
pct/VyPGqlUBUc1cTyU1VKGsvU9h7QWSFjnXeulkbB/GVgEy6YJEnCngRI0Imi4+A4hG202wwiXE
j0zoPB91ZdePLJGipzIu68+AWekQ6HjlM17O/CiYJA+6SuenSNfJcxXbfDV1GqnPi/n6BRXY/VIA
eMR0NmMhcGh8cztG+NkZ/G3FR+RCGq7LLaWm99jX0we5uXFtoNusK1jBEPQCt1xr0C6PhlcmR2cy
9XU7juHnDNzu2vQ7EH06SC8EMvMSF4EdJOlzfJkRWfgC1EXzOcBzdDEzazNUz6CocwbAFe2qMDHj
wbvn5lW9D1Vfn0XVmnuWDQZkRq+lkSllCLJy4wvQEZrm2MODAuIyvxmsmLpsGFM3+Dhojeayj/ez
luWZdZnilBejd3lpwVBS2aX8pLuxBV+5oGQ4UiFCujYdLbYaC/hoOiCzkqiL1K3lW8aQ1pB1Ixmw
zihFm0m/psV9F44U0qu8rK+5YAQSmjPvnE28ut5zTIaqMNgNp2hqArNySw/QUocFE/yrlbXjLYL1
eDbNqPkEHrJ+95qegih4aRdzH4mPEAf9NVkIeRW7vmHAtBqcDxq26nfSrSNETwzLnykNC54zXGf+
qsCpKPBbNX21JknnRtSUOeLARzUkLuO4953XWBn9CBjxVm7UmXcgvtzH2C/LtypuH60QVbTqmEio
u5gz4paxBTTRa/Lz3I/6pezChFIytNOeeUpwhUF6nw+dQtbzwqErdxwDeJF7OTBgGIJow0WWNG65
SZRlsm+YovRGT8qrNx5bV64RcRXsnDhRlyBzSTLl6BW7cW746FDFRMubHXCzsbucRbQMDPN6aNyJ
tVXV2zdm7yPY+UrpNTGS+KVvZZRv4rZ7di0tsyVsSV1g2dZ3CW8UHbpB5z5AhqdY16QZ+Y3RyB0A
DVNclX3rsCq+9VlJf+m2YmOs9Y5Pc9btIxgti/93KcQClyu+9N9qsrBq0kILEPVBqOXOFtKnFc+L
bc+orJDeYP3attQZsDkepxVHa74nzEg8A5YJFlSjuuGWi449scfxP8fFXLy18RghWSravYXGKmJZ
V55CwuRe4LZi7xCVSTY+CjaIB69l4eHwB/cWyAPcrdq1qq2MHYpSesuv1dZNUqSzzsq+Rp1bHH0K
t2DKxoqaNmKrKX1bUfO11b7mrovBdzWwutGXeW4Ua3NU4nmGiL5iicHhrWyjMj+0Re68ZYUyL3Xr
VhxwZ23t9ZINczBArouM/mZRsATiI1kdaRVnUeazTDuLEDmTHWTP3QTs+eKotxjxbKN9ovKr3IwD
00SdyA9nsMJLz3DDiwy31XmcHaNY8bS7C9127bXGG7lhV8sZX+c7V5jGymDbt+dsUycbTs3yg8I3
qsPDIkvPoNVo6q7TvR038X1SlnCz7c6YDllJf9qOvX2yqzr3xatNfWeIzP1qCKQdnJlX2rbqt95z
sgeYWYV5mMc6RPx1m+eQu/mVEdfWDVlk4w7016+MGH+1vIRYgYnnsBF1aUVY7BPfORaS3PSlTJpg
OdOzPOXEfPZFnZwKJVPu24yqpwFf8oM5DNxK/94w4f4ruwQWFLagYMAx3vzk75ltQwRpOAV7LWJ1
CoVsD0PbsUUwWds7IxHwiDMZi3Fard7GmVtK2/flTg65tep5Z3PZeesgKBE7pQmut2LBVE3C2Y2M
8eybbetcxaODLFMKH2pI6c2HVrj1BXGe+Vp16U1nU8IwemiDDk6tYt2PpL/JI3JnRj+kb7XP7X05
5YBrcQdt6HhOV33bu0wo3j3866U3SVvnJhVfs6p214Y/qAOdjpi86sqnbS1ZrFITJXB//9L9HCXG
GrV0mYTAk6CoswxeXtrv3reSjxIvn8u0joeSc4N5dt1J1+s+0zSNYlkaNd4MJ2TvbuleX6Zdr6HV
b5kCFo/BaNNVHYf+uqTbDwZWKbZZ6AxHk+DFup6My8nsOe8WsBRSJ8sOVZb7vzDm/Jzu/fYUPBZa
kP7J10Fv+PEpgAGJ5BC24d5sJT30VTjMxTqYp+RyNtSdNQ1iM3BzBrHdJReWafbvbLz6YwtH5UCn
C9DRKucrNtLCXOHb+PsX+K+2PXoyXBHwuVzg+j+bBGM0PGGJMtwTAeAaOjlxeGVGVfuLh7GWdMSP
lrPljcTxyFeAS/vPGT3JwtjtIgmZIQYlzu0bCto4QkGbpkK8Aj9DIcjh+VdWVG2gb4u7lCF0gkXV
5FjH7fBU6IA6pJ4vi/SotlNOb1J0GIHddVPzXpLre/z7l+ZnrNOCGTAtj/wF1yCQK85PNs2maGYE
CT57Q2dzUZjtylv7JuJgFuVyhe7vPob5qTbT+nMxo56x/zHXyVAkF9rVYoOZQb95WTj9nmL9b/Nf
f2+//vf9e33zUr53//aDK/t3H/bX/1kmbdhpRGT+77//2+8Rt794tP+DRV/5vTv793/whzlb/LaY
UzmAcGMjALvEd/BcqH/+IwipycHrCRuOSCzZHv7kT3M2XROeRX0U/3ipp/7TnO3+ZmEfhptkETBB
5/svdeuwovnh+xGAScBM6lkE0EOSrJiDf7xI1Ik/mhyBnEOUzAy2iByJtYXd62R7s+4ZPQPadc5B
GiUJwQonqNYDLA922iqTJfhsfwAx4pl+y6JFWXidqGNdOaVHVcBk9BEAFw2COgjbYWuThX/XjNxA
HSs/vXA9Ct2AbAbM6eGQHkUVbzOv6s5uWtm3YWcBNbW1wBBkVFeTHabHjnIbuF3uJxjY3ZpXUO9N
eLuburbVddYxHjGyZ6BItzgVLxiE177s+83cjjPGBk7ntsKrNbcLiBR8EUojMHnH6zXjW3gdxYZF
UALXuDsn7FXS9FLbBVxLgpnrmVParvacN+jyHjbx7mtV5kBfZYqLvfPmVT9F+pjJWt3OYThe5KmZ
vIUNBZmFtpCnLfXiT0ZwwJLf7jAou5sx5DGDVLxHg2/dqGZ6m/ve25mTLsCMGjcCTa3O5teQydeI
nY0qo6eJ1lbVFFcuIXCl+wvOmSQtKMmmt8X46tbBuIsm543hd9+5C11b6ENfcNuyR+c+hqK5Wuqv
t16+KFYwPlecIJ6KxJu2yvefRWZeZa0F/9ffYNRu12kPgYDwerDBETNckk5pV6wvL8oSgIdO3f1k
sLzqC3XOW8kmZJ6W9Uhccu6V7qsejWJTtsK8nR1hn3S/DKyMjV/Kzi71qhZD/NWOEDKSbOInUL69
xzDlfm3b3sCY0wSnsoxxaU1Cf7QsqUn/p06DqjLNl7ksx6s2yU+mJdMPtx1RsrV0VjQe0nXe1QaB
+EK9ybxnIRMYd1YTXuS0Ga+t2MqRr8DEnBBsogNnxXNe++FmFPNdkNS3uW+yVRz981ym49GDzHiZ
Nvjg6FGP7DOR32aTevpr4eEGDYwCDms/XHe+OBpE/xi7Od/c+X7vURTUZNzmAxYGgnNRJsdtRdEL
DXiVvlS5f7IM17tTcddZV74fZTQXJJXV4GQyKGGmfgi+pyqLnvqIYoxprAhBuCF98GQ3BVIY2SpB
PcBa9GlZbN2Zwj6O3MSwyeNk9l0LNJApySm7YTOkDosEsFomlR0DGYyVNCcO3p1P/d+GfDE7EN+q
YddEBe0t2ziz3HZFQUgCoSjGpXlFL3qpDr0VSrVObLrEsQkS9Xsy6KtPU77PgZoRhQOPQ5xZB2t7
CKrhxks4RBwCYGD6Eo2+GHds4XDEsoRpg0+l3Xj1MfcKo/6QeTqHPG4W8g2gJSiklBR9fAXGtnKZ
RcMg3uowrtmqDxjT9okjtA22shnFVtlmmuyi0gi6t5qWhZJzfRAOG6tGKllRY+l9YX2gn6qRbwzc
5ejcxm2gScJaabOCZ5rUdDqPbObsAdFpLbKJTk+vLmJ6kvOCF8tnPm3hK6AzxQ+s5PiGqICvQjqj
gWW4ErssVu9jtJiK0oSOvXWepVZ+FnVWZru5d6tgW6qhi2+SvOLddwGZ7Bfbr9qSLGAsBgc7UzvJ
ahlZuydQehRNq4qvDRuvdBf6OTqkXQbYQN3Bml+qEHANnLXkLiTjt/UKqLpcU7A7WyWd7JWkZP2o
o6n16LpkC1TPF8Kw7S+5SJPrKnTVy1jVDNkFiOxrWlt6COPBnB3LScwvAdlwD3LEioXtfab8+0RN
z0GVYdaqGjpCPSwDYPaKWyezuOylsSDkWKlPyHr1bhi64HNss25bAfOev1jm/DaKPtq0Zl89Rka7
iIjIr9nAKXRQl4Kfi8uSU6xHs8I0DuWVwlfk7ENKb9/HQbflWsT4OlcFHZYn3RYAk5OJbXQ8SmWz
n8vbcWtXwLFBgyePA5t4fyeSBj596RfOHabhIaI3w6eDoe/EJZI/aC/dKnO68zAfzQfQZvGCFMuT
T4VvJW+GKCzqUVJGYwL6bnrfsvsB1l7PqkXemnzYu0OKabWJkxWYeXrGx+l1wp5CeQafZZpnYxGu
7RgUrxV1BAunbjijbKQn16ji9eBM03XgQDnJseZHichuoWr2lFrP1YMxm/6VQevV527y5K00THo8
qXUP77u50Lc6asviPFBi8Fo5nnfABDke4bn4Bs7LoHwRNJzfgnHCiWOr8ETyfWhWCubIa2wHPfvU
HJszux9I8a3TR/k6Uk7wERRzA1q8Hz+ihJAiOK7aRwszGn/d+YZuccaJJNn6HBOLDxyjdJFnRmLe
5APjcl1b4qkcjWzP4tP2dyEjaHFlVQ09eJVOtovx675m/xCvu3ys3m0K7j8G3xif2Rf2coM/JEQD
RtpZkSDGO5BOc3MCNuNcxwVd4NdQB917I3Oa8qqiYis/5Fbt4ppPjYH2UzMJnnH0sm/MunDaZxSo
2xfCyt232miHW1Tp4N6sq+KqSlVqXbYq8h+K1vK+zD13kFR/k51KHT/TPmPeQrmHKFHoYrquNT2l
AazmA0w1Zwsqz7pMYlsdBzIbwzf/2cbrR9PgGlG3+S5oEd3Xs6Fdm5aJuXuYAGDfcKLBTzrFXQO1
HFWovS6NFDDBHAMX4CrZFLR6mOwHenPWBdllepM7NfV43Ryn825byqeeyy7mQ1dj0B3Agw+RQ+NC
6GcX4dKIegyiXkVHg+xte8Dwzv2PlRG76cGzDX3yRJTYtwZl1ZpazkwNLAXpm2Lbg1K0kQlPnbby
Is7JGuUjZ/jAypG+2tCLr9IKCQXY9jjcWjbH2Qv6bjzzasyyudyaoSEDttH1HR4uljlzZuj+LqL5
RD5i7UETpxg2ozFiRULR3FY5X/kwweMzWmK4zumCJRLRhPfRVIrbjMklXpcEVrACNOnBcGfnEHrB
hKyU2gfuZ+WJItnyEPgdQVQ3QRTSQ11sjKybr7rIZelUdY5xmeK1aNYSaxX78G5ov04B7okVJ3fG
B8e86fSYbtI2whBcQPLvqEdUgggFa1i8zFbfXJZZSkNvx4Y/ZxHErlaK+B5fdxLjcuHuMBv1dJw1
S5CrtqbVBh3PzcIDwljA2yqV57A6SFx1tu3CPAWd71wXRuI8uCMt0Hv2S8AUapFzWS6VoAJEUrB+
NAKoftoaWMjUGhLeNtR9/2lyshEwGefPi8Se4zduc1wso3b0ptUwJk58KFKT5RvnjxdpleGlht1x
nt363PjWtO/SntbwEJNZW83eVd2Cyq9677KZcZdUNl4IgaGbdufocjS8+YUbRvYp9u3iTaL57pu8
sTCHOUZ+hDsLD5OjTPMWxxQx1yyE2ZXhocDBxA1KTgkoODdtM2trdg5ADUiLhDIcbgT7cWJsv/YS
Fe67erTD1ThN8ylnPbFulK6/yk7j5DPwFSsrZf1Xm7bX7HqH5tiNVZTZL1WxX5x4flJ2WHnQ61yr
6eiytFAI4l17URVGdv/dGfD8u8TwfeDzR4Hj94MVWVyO8KCPgH39pL0Nc1nVUWSMRwoVRmrZYmC8
jW5c/xdK1Y8C4/I4y/trIVRBWaTp76fHsULDVoSS+uPcV/1LttzhocFwIoh1gEdnMvL0vRhmHGQu
ZuHgF49uL6/Wn/rK7w/vo266tL1yuv35adIQnRuydSigaantSZZBwA5KsXOX4WAYu+I2aJxml9eu
/gxjkOoYponBDO9npgv325iBeFwsg0clmPvn6Tz5dX0UTjPJC9OM2ftnMI7lyiBBeuralktVzYIO
LRuLC9mnX7C6/vqEOAmbiC68sAD5vOX1/k74mx03wQLSy6UCHkx9k6dQhdCdqVPpxUCTAZfxwPlF
avmvD+qYkLOJOjGZQpP66TPZRlHsDnkIHyGN5yu0ZGZp9ZkQyUVKS+TL338yf0zsLW8ZD4YWxhPk
JxHV/fEZxqFjV3hK1HGcU9jJrf2G/rorzUn94ln99SsA3ocxhAw5IgdA5B8fyGazLNmLVMe0L211
ci0ZceOsLK//lcr3L14/dE5OkYvQCd73pzcthueQebjLj8q1xGVCRyFa3pTEV6gfDlks27GpNoL3
yBI7GbtTTgrEPQeWt+ZGlLwR02P6kxZOFdAi0XyYvs2H7bdZ8e9f/L+8JmTT+WgRI7Z4WcDy/Pia
sOaOVVsH6TFPEtM/yqBXZ7zmHJb+y48Dqcrz4EOjgzhL8v/7j7Fokq6J4z45VhGHgQ2QrirdxLgn
fo+U/68o+IsybiISgLAXltL/Xxi855LXt3w73ysFNOf49s9//PnP/pAH7d+WBcOCjcFnhEeHL+vv
8mBo/WaBdLPRyPlzxiE+Kf8pD7q/sTERiOb8EwJaS866q3uV/PMftv0bSh7JYz5ZNigaQHj/qVv+
cc/qfvrvH+5h31jsf17eQSiQseUmBtxM0GzAFePHj5GscoOJ1uoPbuQSyciJSBljcChZ567ox3sG
CRevhilZXOc4/9AA3yfbfgIb+czxy2QeBMbDKf2N4w+GH8wCWzWJfmMYFtkU1VSfcml2l0v1yaoO
8NXOAy4XQkG3IO3gN3KcP1RLbSFOEWIPOTC/lEOFrr3nOpTNTvT6rnbN9xLTiqUXkSP2aHegG5S6
KePNjZ0bvEw2p3mj+YJvM4ZMO0wHCqSJTdCDzKPGw5e0Kw5we67guRBJVCMxxlLE59iIwg0tosbW
bPDPWySxruhtRILLXGwghhRXSRUBCZW+Wy6AW/0YhfG9meYvI8zcnNbKYjUoDYwe7+E2m6Zoo+qe
6Fav6eC23f6O8s593ubulRTWdLRzryffoutNTLMrliALShiGPj2N9J5b/YfVh4ywsdharePfskA2
sZ0k26Tp8r3uAABXRlNd+1lNserURa8OEJuDACt6QTBDbiAt4d8ZQ7LErcXdtYjFqxL6SzuFCX56
OAMSZXNth7SnysqRr70IjeuIhpJjOBI0SdWYbebCc69J+PQ7r6zfMwtHnYH/79SC9tiNMZyoHs8I
UXNkoJzmhm2eUHyG2tleNOVk3wXd/CYlAbIavulpLPr82an1sxtIdtA5wZAuZFtVduaV2+T9VtZs
yWeNPS8fOH1WHAD9OvwSKsrccEbROacKVr+j5avtUJoXtY/7k79FX5tsk8uUk2wqxL2PaYyMtCLI
EU/pfUeGapNjf952wOOg/MbF3aiSYI2AkgMv5MQ3pgl5DOk++GQAtj7phWv2kU98XsP3yazU1jSq
En973W5KhSNwkN19ZET3iZ6Ir03kF+fuMWO5hbiA66+rSHdOhvu5wBJ7yFR3Z3ly2ubLaCMyp9uV
fa0eTcy2fESDO87897SBnSuHAx32fG89EDMn0oKhgWCvSZ/rt7k6+zZjl7PC6RgtgRXq3eTZFZPc
Wp5hbAgbFKeQVtVt7cbjsUyJXwg+g6dYdbgaYzeFn0XaoEgSLmdht5+VvF6KYRLqZFvnEsBTdtdl
brC3pa1Xhtc9WnE3fSrDMr4Y4ZUdLBWTvnMF9XGZjQJJpqHI8nTNWzVsR08PCo2MdGLYG9HntpbD
Nsrt5ipVXXwx6xFNEwHcRbplEtn0UfteS8x+MYVwpA/n8EbAcL6Np+XWPdGFNHHrJiYjLgRmzJPZ
RmQzI/R3EY7p7WhhE9fcVE8mZ9Qe18r8VenwkKoZpW/0a1x7iAwrOVu3Ua7oSTRwSmHTrnd0rNIF
10X+ehBxsskVEaA1WVdC3IlXFfgrygrPrik2hHL7J92F4qGPe/9Axg2nuglDyzBJ/niDiRTi+skx
8xt92fhe+hCmsrmK60Y4q4QqxLtiRhqgJY6wDN6GJ1HZT2bSql0t9Cru4uogu+ksFYbPgaFkaewZ
Nwbj6LyCXIbTdkLQCxJj5YMzeE1RId4Hzr0nXzrjRajFeFBqWapE0mNhXuQ7a46BsBTyhgrlS9I6
9sbHYxzTKktbF/467dRr5LVLcv30jVhspDfs5KONHBL/0uUMhncjkleRpbJTwpKVM1p/1Yt0gK+t
mqfK7PuVDX6dLYbu14mmRq9PqTwpO5I8QzZnD0PIr7HszO/YM91OLFI3dkCdcs15/Ciz/pb7kEEp
SkRXJLbAVxAS88EqjPt4akxiLBUVqXalTnUeeBBu53SDiNFvKju9moKENrXYrW+9DGW7TN1+1Vo+
IibHshX9OEuAzdKQI9nGHSFf9htlNB77+aDcm23e0mSl6hUNkWy1yGeAYnC4CqfeO/17JGWRA9lP
hbdsMr6mdkAWPkMnccMOWcGUMMdwvhO27ebt0GP6LCP86XUVPdLvwF1x+R1g6TnoVaQEahXaT8HA
t7nwbDSsaA6vabnDfU8gw+2wUsbjqxH3ZUbCYmzvbRl8eFjYSoI50MEOwch2LrCDE/GJcDUhlBog
mpPxzh4TmJUBOrVnZHf+ZMlrThnZo2SRSHbcG7ch6mhZib1njGRpuCcgdBvhZ6j/1HiE8q2e+ECJ
jhRegxUhmzR9TIV5Mw/zdRk2GgeoyB461dpHCNzkHZZ3Osh1tHOAOJBg49KjwuqtsufX3q+/DL4d
8aLODv5f20c8BFK2gkKfXtAKfU6Tpr0mRgyMnSKF1BLOWkdDsK6rwWbXhPjczhWKQuY7h27I23u4
kGozd1SdCKXKgzPVL6bBVUiUdBjb0VYo71VX7J1c763s2ZdHaom4Ot7btwHuf8fdX427DH9/N+r+
R/WWtC//59y+vL13yQ8T77d/+fu0G7i/+YytrL09FIvvSWW+4E8A1QiLHTIr8YX2/se0a4W/WQKj
CDoHU/AyIP8x61r2b9iEsXfw41BZwB//NNr+3ahrLTrJd5MuA24ApzOkOiDg0E+L14+TLp98YwDx
onYtWdvuUwLI5n72jUpuSKKLExf0gOSCVTe7yuR24cJI2RaKFdF3L9u/kI2wvyx8ze9/E34Nelrw
fcDtwXr07Tf9ToEwvUGkhoZDSGFk95gHut9EIoyOA4vV+z5Pw6tJ4OylraOMaso76p6cNi0kVjZ5
B/6vdIc1EZgYMYUvXkJYsUpS3RC4T1OWvpF3NpWOjjTy2hsWCz11GfTkrbKGXnC3MezbpGuxYzV2
dSTgBxK3Mai8n+Ii2hqUBWwcz9cL7LpaJ2ZPYst2fXunBKVbGe29l6LPPY2ZnjEq4+8vSIjJOraR
mF5qo7IxULk3gAfxBIiMbeEMnPvF9Mzi2nOKiBBMU2COn6g1noSCO6mnV8dR8xuJL+8eiz4sEYT5
C5WP3Rn7LRcVovI0CcZj/ar8oDsi0rQn9Fc6g2vSfiIJ+h09M+ocgyaAi27jGM0c+nflYUoN7he9
iB+0y8gLvgMDNcKVeLbYOKLSmvZDMobGjtWac8wqjG7z4NhXTQL6lb9i7ic/EpuaYf9A7iq8ig1n
PHJ1tzatLnaVjjXrjaa/1MpIb/rUjbdgq+XW7xs81T1m6532R9L6ytXb2BPq3muAg4QQVzc+COZP
RTV6z/4cRNtWdy2ZE9NkNHBmnlpzJmmlOaYY43UM1/K+HyfjidXjQJpzwXdgOgHEZKfbBswAQPl2
eGvKLNhyxaxu3TKgYSsSRn89SmpT4A+7G0vYQMTHazdp2Nkal0GTsNpjxb8bTP/EFMyYaBIXxQuB
C7MEHmR4LXvuvMLF5eC17DqBYzrRxUFAwqyiOV932KQ70Z1ZYwtmzKjhNNNRJVm2gIDQ8TdSERIF
zqueU3ao+6pT9XqOY/J1lWG8+nMz0WBb6ZsSSzKTF5+nlI/VDvNpvpUMPcv/Em9xi7o8kqZ/wrRn
L721g76O6cTmMWvr1pwc69yXw3QypTGvGzlMm5HikhUl3qe0KFrSsv28l7FSt8APBAQEiKKuirJt
M1PcUzrEYgeCfGfOJ9UJoHq8dezU21aY4Y9JY9N2kLBFBBaMQ9xX8lCPUj4WlePwbtL/VaEvEass
P5yRPYI1huV95Prjim4bf8PPwFeYNOIwTOF8NSWTe6w9wO1VFWNPoY4aO23psx8xwnDbwm5ac5Lk
NBc74K+UEYBN1lATYAFDNASR5qGe40DnEiH4ruG33hhywp9Zlbo8ZH3hEB30I/YhkzilneHcDdO4
Niso4XKeiXzV3nWAXrvPimrYuIOwruMgOYVcZLa4DE9mT3Y9GScC7lV/Ccgp/arrNqHlhTRBWKhq
bYVzdKWt0TzNvtM8x1z1D05fiIt2GOR1NbrqOFeDtzPQDU8dv/YSQInuYrIcL4w8pAwy5R3U2Pdf
W0rf7rgyB8fCr9svdgOi3PIz8OoxDVW0uuBR4nwUi/wYuGyd+PBzoPD7XpNXJiS9gUOB2aSTTb+L
knzc0Y4UyJtqMKnw6aH0XPejjDkmwerN4sFZQ4JgskOQTdZW1fpqYzemg2+yH8hsWs6IaTKNHoFY
RSe3TOt5bXthbQOPKHifw9RW3ufSCvpbw67Blthm1z52jZzXuRXFJ6Ha8oKb33AdOYkGzY6DqdN9
dTHqMvksrYqiiyBu+V7DsQdoAZFkN8uRrTEFK5Nzlcjcu6DEJHK3jgzfdS7y+CirisqPXlUXQdF5
z24aqsOckUFBe8BrVWFu3VeuP5E5CkL5kdY4ZbbR3KoPlmmUywyzei6tsD9IUZ+qxHhqprE7VEuB
awiNBvdnyg5TFgQKVlqERNnNmWOsv/j4BWnbZ7dsi2OY6SXUNPrHaEyDtS6J7yRYbNjR2dHESbqJ
kGiSEYN3GY3udBSZHsIrWUZW/i44V/Z3Vlb+P+rOpFduJMyuf8hskAxGkNzmPLx5ljbEk0riPJMR
DP76PtluN9xtA4YBb4wCalPSKymTjPiGe88NXtOuFcthYrryPfIqfCeJ33y0Vebc96miJ0xaLmjm
H/zf6ng17x1cF4dLKsH6oPVXWcfO1UZySaCJsbpWyqxqKydcOm4ujEAuw/OfsrJ4aYjORN3VNOMW
3pD661lfvnAVjtHZhGwun6dxbM8TcvTXGYb+awaOWO2ERzn9oKmJ/6b1yGYzy0P1ybpb/LYmsmcM
HhJtlFZXFGfRH5BYUBUT3y1ODvPmu6QIlowUdwMHJpPqvln4VMuyCo9wrvB1snVXL2Wi+h/QtvuX
gNP61dZ9fwIcpA80h748dGUWqQ263+VerIk4BTJPKbCpXUyQhJtJm/AD/l4VPY7kCBUXXb44WCmv
kBEQkAQlFllcfTjcY7d3P9t4yH8YWcz+ZujyFTQRrgJY0u0sfyoXSNxjwTzu5kVrcJGMVeTuifOG
4LP6sUesOegEhnnpc2ak+aqGznsXjhGvqAGhQnijPPhU6/j2nPQdFnZ2pqpBxcq6fRiptRgoiWYg
CmbJzbFHx3cFnB8hNYycZ2kJZPP6mXmOWds/Yb6QZEJSDQymFHvtsHjgIVA0NHqjmnJ5sCVrhv26
Wp+c80yzhMZKhUHAA7xs0vScjO3yK0N6sGsHm32mLCjuQ5HW8N8hWDdYKLdodPztqrk/66LfQkmI
zlnNunKeKrUbevrtrXBrh1osYgBTMG1ABliP+I0TVorXLmmcoCbJcvZPITo1c6HtyS6UMy2Qaa/I
3igb1FswzthqMdo1Bl9A6D2VPQ4kYxWPwtoyvyoGMbzwuw6yIANvQBhjt+zTd5AkwqtJR7vPWpvW
OPuH8atL1LpJCmnPXuFPBwRFKdeRiA9Nf0MH4m46Ju2aPurVysMU8IwG2RDdKQcHH0nWKC6CTRf8
gaSwDM0XUpTvRIYox8qLH34N2ghkexqie7A4IyniLbOS2+gKJ4DVnw4AwScyX4u9KBNGcmSMRA8t
isn1aN1ZFTCz42OETGyXlnF1LID3nNiF0oe6ebTzGqX7hzbnsI0k22pvroH0Jq5nn8bFBTnUtqu8
V5ifnzKZOQD0RFVcSTUu3/6t2WbF7h6lHqtzMRJhrLNMjHtEmPaP9usq3KatKT6jiU0yqbAFrk5E
omJbuEJ1W+OJFohfHfnLfiGIp0g2UqNCabVkeBONS74t8s6M2ySpodUtJjiv7NAPKLOauyac3YfC
hL1PfVt+LG0m/ItONe04k8jkFCdJX52KiIkx7fp881LCwnUxACrsHicttPdrHlPxFBifJI+BxKRX
TptM8uDOqGKyBYUmYhX0Hom+lIjjB/JzBHK0PUXPLTq1Se+MlCRvzZXzvZpkGo9aTc6F1KzvXjjx
Izt4Onq7+tWfuQnTx5JTkdt/wlE0LAHdA6H0lpw4l4FxBeFtdLT7gc0jfuKC66+ta4JrHDvTAfHy
fAgWn2diaZO/qM2qfclq8REwnE8BHSJRbE1I7EneOR+M3DhDLCEvENi6Bk0intV9WMn+ZTUKF9sy
+eJhSBg+ob5avmVRJc9YvAKMPcgt6klSlnl4sOdq/DMEiIxBD/a7UDKwVjJNKDphuErPPCQDRUFu
xFXwDe2JTg/3Wrnte+czdFZcNJsKCea+zpPw3mZV9uHNw0PvK2CBOI+PFdALnIs0N3eDTMurKoeQ
g8Sv5lNLj7EjMcQ/u4G0zwGiRcJnG8KYqnfl13+cJHqcNEiZ0stKhHile8izxiDCIdJ6IIanDXGO
KW9aH6u+r38jY5sfW6ovtFhJepchnzupKAVs4v0ifm0zTVNwKAU+y3SxJ+EEGb3UanYQHuqDx4XE
jiW1uGRhvZ1Ujl4ZvSIWq/OSy0tmFQii9FquubpPw9S7NlE+MHMVhkl2J6ENetqhZKz/iUyfesyQ
zVvHy3QISJsDaIVjzGXNvYMPVT7jnFbnZEiDazTNwXPg1dFFuwxtUZHFu9CJ8mPC236dbYh3T7SD
RwnaIJ2cK0wKSL/2zjJUu1Yup6RSRK4M+SUqp6ObAbyOsqMb3jRMdmsaiTjYi/NLUnto5PxiuQ6o
KHZWcTfhL2/nsxfWsGmQfqG2ksOwrcshQK26nIK8PxHIgw4nYGjEJG0EL1hU52StOf+05qtO8HNt
UTc5exw3DsqtPv5yZReQQG69zyGiZI8Z+l86kD47z/FSVDoy2EsT69OqC/8nuFvxqcK1e6ECBoyR
5PqjbJL2LJoOPbGe5Uu59iVnpYxwlgOJvRumIrvP6n7duxRtvz3Po4X2OjYiwdT+A9cTolIw3S3o
goGgyZ11k1/uwt0nLLKiUm7n3Hnri9m5+laT2GZiQoFsFZ4Xf47vGQLHr1FSTDvIHAUaVwpYfYs/
GHEQ7GTY3d30w4RotDvlIqpmN48zsH4p9FJSJzTDt6eaYFc7BLMgvnHOo/BPS7k6F1fkmFk9Mz1M
8TReiIV8kS14lwgcjx8MD63/2cPznMvbJDY6+JP6UWbmsTGudyqz5TWKAV459QsgM1gv3u1aUim2
yFYTMz18Dmn8ha9/5+v8e2CwgQi87HcwV7KXm9L2FE+Kg/1GaQ1K4/McD+05jsprBGv7ki7BelVD
hv5ZRtXpprkPbInau8iqU+I2+dlMVXoUen51RZNv2CHqrV/R4AGmQDUrKcPPcKLVCQlM+Vv4RXtX
zmGxbnMAh7uC9DmKdOeUtYXYgVJ1j2lcJ4e2DJPrUsl678TpeIqRfSZIiQv4X1ivN9ESMo2M9BkT
ZXXMw7M3E4CC7n0VOJQ7L5fvXRdOdy7G/Pe8CMCnoXaN9xI/w3oEnlEDEE0sgMyoQPOP17j7gCJT
7SJBi7Iq3HWk2HTXrIUTion1qZQwp6zk1+tb1kxxmer+T7NI9IRE3tSbNHKbPQf8xUXk1Q9efWDE
1J2LqLyhrJZy56PBvl/xHO9U6Lu/BX8/yK0sdLdhs9w87lF/1qxtn5BHyUMCmHbXhBAY06rb635x
D0pP21kk8Bi89ksox33RSTHS4Syxfa7RZDAEdtRwmGTkHw1huBtjXD76MixhX5sY8omTpptukHd1
EwQ71SlzF9okutOivU9xz8Iz/QOqPwNEF8LDf4Ucg5paPNkcdOeU/8KC+semA0sUl4ihHYsvWO9S
gakZvaE9cG06WyOB5+P5cvetU5uHudQeXTa0ZG4uhKPy5GFhNIHeGfCtLCVRFEYtL1RY77lt/yjj
PziNZFsXrifpeFcZQQ+h1jr0Wv8gvCMlFUWI8txzHbwOnmsfRJL9mIW/bgfofyKP5WONneHbkaI7
8d9JwqZsCWkgzqKnG6NEcV5BHd23okf7h6sMwpC66/0BcLD0CTThQ1JuL2H6ElLtZMruIut91CG2
70KRIbYO2YEaejvAybLs2+EC+xvN1byJQzwY5Ywy3dYKFIJ/Vll+rstlm5n6rVc55aU027zXaES5
wA910uE0EMeqsV+oOQPeHmAhubnR2qqgml5psscDOdn3RaLBUnnTk2FHvhciz56yUbyzaLbbcEEp
61Uu9SIc90PowVEDgntAyAklNIe5uCgveFjAnu6iCvhoOQAVhOq590d3r1BREibj6UtQonx2r53J
c17H5nUuoJ7p5pLEIxu8cX5Qa7wMu3Ge493cevVbCuD3K26mS7GOJXhVyIV1t4DLqpYj9lq/2VcI
P89sGueDUyqWP17mn8rR008EUKU/iekjUy0U37T8bwIZvnnClwrc+5+QOdcb3Mv27FH6njMmQ5g3
9B3acBpqdSN8LGF0Cnxoto2ZH9Oaccs8t92H8CAQloWF85E7EbrhrruFsYA97Tvb3fkhEzPahuSg
8dy/rhkousRdkRuvAaktha/6s1IFgh1nAeqJh88J2TvGplj4oqCvdAhx96Ef2njTdyJ/13IJHnjO
9j7UZquS8a5IAoA3hcvU67wWfgQXbBm/xjFwzjiU830rXDLA3TX83a3JeAI0/honBW6MNjuSStcd
h7grP5yGyXcvh6dZNPy5chzmJekROycB95Zyz1Mna4fhK/AIv+peFAbmzUqdYNcQMq6LDuG8dhgr
e2N+yBa5q+UUP6s8De4rl4yBVGfs9AvU3f2G8Q3VsllEdEeGnwRFEKou3MmCX4daWe+yJmNC1ct/
QkZdG5Qm/lODTeO5YCPkAZRlHk7QiWGSCuXE99PPcpXl3Ri1zQVmArvwMS8SbCrJCB0msUtxNGVW
/hwKQ4xVKeShpdKkoCrnHdtmvctXdyg2Q4ipnXPBVt59LNGo3Gllrw0ZVh+J362boqP12I+O572h
xPIsDImyhODT1sXdMlKShUnnnbTx3OsSEh8OBqHGMbJYFYKdVfk1SaHA8lvE3vXz6Y5e3v8AXCoR
3Kr+75h1lI5JMN6ZgYapcQQC9UaCb1atOPbg4sg5biiAPNV77Bdnbl7d1fLO1dNuoPgTuP6GTcGU
4i4epP+KCi+9EJ3rv3HwN4+zEtlRpz1gDXfo+6Nf1Cg1Fxe28wYB9YIfqe+4+sJ1a4P+pkvoUeVu
W+tn35HivABbYMp334vu51gSOW5N81T0rdp6S/AnQYb4yxUeVn6iA5J/kiqv3yhDfmDxQdlSDs/+
PL75cYk96TbwmlfW1qvtDmhGxuuyuDyuksEXUnaNlXBtvjsJJjTqAjKXUkDBup14ihgPkshcrk8k
N0OqcivgRDaMGJuV/sSrFTCgU9C7bzGZeN+6h6gUYKn7BU5TNr1ri3LD9YfP3Ov77ZBDPwBboR7W
Kc1frDP2P4MUXs/GTUJzxCkY9Ns5AEnQSRqbFLFHFsdnJJ2UOzOszWi+LnmB7UstxcX64d+c8n8j
inpCUJCznebKvkUpR/Eb0mYuk3EtESGwq7xTa/I0h8CXMY88Z2G0bD1dgZec/N9wYXkYJY6IpaY2
HopVXMfCOt8oFdJ98m9qGC86qQ5/H1VSsLW6ogiLRQctPKmK86J978StS2vsX3KqpvcCj8uD7/H4
NSFg73mJnBONnQGmXT1PuUKcxWIK3vN051Goj9Gkj2JlKrnX/jqe4dQ5D9ouMUOM4C3rFP+7sma9
MpTFBme33s3stC3mh40ggnzyxKOz9u6dFwLjQa5RXLwIWa1XljGTIVVep2Z58XwoSMkAMDk0xrvg
cXgFLxJcERW/urxEG1eaw6DDeL9M1VtbFQ8WdjJwjQ5hjY/hCskXEURbOUNUhjEzHXwqHM5CRqPB
foo1ZzIUtPYat2LKmAIMAQ+zQb3iKQ5kMKPdu40d9Q+MWqaWLV4FCgsMFvEtxJXHcGejDkeZXUvg
NxyL91M2YiZb1/ViJ4LNIkRJ27Ir3mWqntWIHGoO4m9VeMDy0ruIafcxkCOloBXPMXXRNc9mFukY
Eurhw87Fl4THu+lGhFA9UD+nfE5GjfiJBcvrAHpx6wODexFuO1yBqkw7cpSyDwko6oQJipJmGdvd
NESQzb1w12ddsA+jzjnWaMjS+Xlh13SfmqyAxrGa7xp8SwLEtqPsRvQK8EHyBqSNvPNmrHcQxWt3
DyLrkuoA75Q3nD3FebohgzQ/RnCZ6FaoFiChWq4T6CPN1iWNiZGjgiDSQ/XbhBjTP9w+w0sYzp08
k83T/PKYNfD+zH57xw8tLk1k31GrHBkQ+gc0HvI+tlURbh1owL/XksKM+9A852bV5xQ9Is4PxLlf
RFs4b/T94m7lUf5Ymoq4e2bsKHfmbHzkXBh7/tZB9RNnhv6dhRN9HUODWLMUKku5XkdsUCXT22D+
kKAqHrWz8Brbki+BHZPJHpLVFBZ5WU6ZWXUifqs8RSgb4huOKxhvP4wbyvc5QyVyBBkl75tUtg2T
zCBoqQZhmKUycpqtqBYMWTh+DPyYKA86sERh/j5XZjizjqKMg4CTH+iog1M41zlappYEVyxcMPbi
0uivImx+w3N1tsBqf9OWO3hKc4CObu//rij4WLitDKw2TsFIZCRB8ar9KeekaPlnN3fNeG+BjlBS
uvIL1ATvEv/ZHe8docZfovJznF7oNQ7drCVsJNEeVh0orEWpumfLujwQL4glUrMTHpSZDl1eyecZ
+SFve5jyoPQh396cKXFynITQBrYbW4iM8W3ShblwFJqMM8SNQNp8rKZFfsKA+qKWgDVklSDVKAJs
h0VSVPeTo5ZXJmsZscr1dl11DOPb6esJar+6sXLXAp12qBbgOV4if7XQOPU+qNz+MjpV/Y7xDYA0
U9lTuFTisTJOOW7DJDKson2xFSRmzzog+VSkEFyHJT+wUTz2hgc4XaPvJnPTQ9QnxRMPfr9fnXg+
t37rP7o6+45HJnqgSnzAzUb/CDqwR2OQ9vsyWJ9mEAw7v6uJ63PXeYPvym7VVK+73n51+a4c3X4j
/PaBjWDL7++997TrgTOVwzHOo/WDJFt3t6TtsJ+L2QCo8BAkVcNFNKR9YjscTnSB2WEUTvIyd2SE
hLP6uSRTZmG7I7N1wVvfFxHDr4UR2EtQJjidi0YGbyybMC3iUHw2jckP0+IsPxDI/CEVAwV8nASP
GHLrDyI0ORFL6FthHOfPM763o5aqqrfw2sFdskVR6xZUdAyiLtF0HWVRvGWzO72EPgufPYmCqd5C
o8ivoEYpCdIo8Hap4E6WiIqSVSyviy09suxnoMVLTIMGVZUN4tkGLavTG63sdlOHNB4YnrFbdQgC
Np3Xux9E2JA/M+NjCyZd3RazHgGHRu9b2b3RmVGlTMFwjMBx3hem0IfawsW3pf+T/VtypRAp7iqq
yW3d09DYvFZXCZoHfVpR7S27v3v41/IzdNZ9nbrmUOTCQsOawlPZdQNpuV5+KOfRfclQJR9ZMjDm
nDrTMbuxYC6nxiSvmV6AFvBa8lNZCoZ9E1xZTXtPfKoB9QHG33svmSU6XfcmaVuR5W+zLlrvmnUJ
/1rb1NWR7Qs9IFu35WKGON8SmsXTwyz1LV2D+VHM3ZOTrruGaR6Y3EmdgyosYuy6sr2mTcowrndh
Ne9Yq8wH2EwlUdTtX5zSHjFaipVK2Ir5nwrpwGFyquQkUrI/sNV3/tGjULgG7nKqajt9l1gIvX2s
HQNMUTb5B9/vT+v3xXFhiMDVxV4diLFH24ayWRXjlxsUGbjqHBun8TI5bALGdAx32N+5uyAQDhY5
Mau9KRUrxcHTV7sC4or6Zv4xWWGfCsv92PVhsZkyGoNBtNewuWExOzCBJZxDQ/3f2yx/mVCWMy4u
RvEoUk7oqYXnWcaH3PD81tK+e5Us/1mdGrFvPIT/sIGL7+TsXfK5EJgSh8RnWuQb0p0xhla4dJ32
y2Eh+9h6Pb6ipiGGtvCcnVuK7qeJcbJvlkSjQF9yxSiYmuE3M1A6D78Xjym5EXuEQUXLFwd7UIjl
3BJERh7IErjXtCYlYikmFkwOGK1mcn4kwzL8jDPqja1qtXtl+sxtowsJ4IthJW1CYBSQJq84odlB
Zd/O/SeDoR/wKH8Zwmu5xtXwLvysOuc9kQsbrtP8y6P//Jysy1pndl0LgJA6nV5jpJvC51hG9Czk
VUB0LsuleY5svW6TJlKPU12He7+rzGltSr1umfRNB29M2+DQYKZc0eoVCZlCZnK2thLbf2twSsYS
hzUcntl4gQzOW48pBvLgU+Rg9FszJyITa/Gfkejru9Bh8zpxHr0g8nC2K5P+HUX78lTJNDj505R+
ZVMj3vtyKtE6oFph2wNZ23ECfRzn23wc9LD3UPjYyji564iF1zRuzVDu2hyC+iZMuQnyxjJo13lZ
bzyDocfx/Dt3rtAoNz4in2ZVKOHbCIKG6lWzx1H6t0BnjzI/waQ7FsgZ0Eyve194byGz/W3uevFR
cZru2e/Wd07lP0ndgI5Xrdz4cg0f7NC39PvL8ktXoocVGZnoOWD5PdAiIWF2c69+YUkbv0IjWp5Y
YN/QQ1lzdaxir9a4+lIMoV23aVrNW0FSw2tg2TJaMX2NzKFvWSDDei9uGHWUNMORqxS9C+Gyj7Nf
IyRX5d1CzXUq4lHsAhN9wO3OdmPR55SS0VK89+h1noxecI66c1B8EKPLjsCJVsRNue62nVjvBx6I
bQOvWGxqG57HrDxmtckusoagXSdRRN6GfIDLV+9mUUcAs21zZpahCbjvat6IxVy8DuHMWgzMN4cw
rLcJASBfmKBRfUDa+nSUeImG5D1eOvOUDSkc9YQujhz4dFcbmSE7Lp4z9oSkCUynIEIbP8axvdoC
8HJeLc1D2eoBGmx5JiTAPIORYW5AE3UX29qWePOUuO/CGGidZ35HI6Fnrr2mKQujyJGXpq9Z2rhR
Op+KZHG/sqGHGQOW+yiDoH735pCDa2InTWJzc/FaNRMhjDE1C+SyQ9Dcf8DMW++jMZk2tMk9UXcs
qkkrU3DS0Cv1216Z6gCgrjgR0Yasg+COLfkg3cHAr6y5vixE2y5lL5vh1X3mmNbQXoJy2XNztAd2
ku519vWfjpimYzem8gQ0lNEeBLzugXNL4rgW9oKeABZanC5vekqXBzK1wJnP0fqCxLLar3nCSCr2
mpee4gJfg/X3KbmVPwgcKLJNNi/6utTuSFKvF/1Vi0g+9FguG7IZuOujIumRjJPM88h6Kf6EcmkB
OLdMDQg/35Xkp+xlI9G3G/AddRb6z16u8gfRjAzK16wigdmI6YnZQPa7MuyTN3nXBPhLygW5A/48
q8YA0rtZOM/WkanhIq9A7cl0tuVSodvKb4nDQfyblOLgQqGS/mZISA1R3EZRAnNQThNe0wjM8gI8
+TYK+nTBMKabuHWnH2ui/A+mG/kP9GnrI7MN5Ndx4uzXIS7+ZE7gvdhFsTlI2uqNZKxsz1qA9v5G
5RZxF75KzF/HbO7l1o9U9qJhP6REWRE8N2VF+bf1hH5tuF5ZzNjksY97SbZChz29xhm0d4okucy1
EId+5K6heW7cp6qyBkNnr+5ZWVX7qI1mcjZNMD6yMQhe65kG3Glt+Vq2zq9iHEg1Grg/5yq5ZOlC
yLyQeDb6xfuWjWasWPLObJp2crkTcwdhEKCMqV/981gWBIooR7+sK+vijW/mYQe5rzusA4OMroiJ
wYx9769fRMkVhU7XbDpnBthhgQE+KYqDA8s4guJa3kMz9DWPLa0+rTPTArZR/otpx+SliON2Dwq8
e8N38srtSs0j6aW5fsVpqMOQXVpWXseyWt6VyYDl3dhLgVNN7Kwpa3fUyOVnXHQ4q3onyb40sOzi
xno0jB2Yb+PWZC/k5E55CIFrQe64eYS7XB2jjO3dONViG9NybuOi57pi1/fKNGw6SRne1H232Xvn
zuNfxDUWilUqX9feW8/azmSb+nbc0HTFl66EIKNZ0W95VWFlBLVhfDKGzBWscjxSUoiksyUb7Hp5
0Pn0XK+EooPN1IeZ0KwDajJqTmAUx4bVzeuocS2nepSgGHqfriryjKSptNHf1VGSmwLIR5nxGahg
FIe8Uu2ZYPDkYSjw5EBxxerv8edPV4SCmzIkGJTp4x8OHOdeJ3ac9iBGIlT+VcUZ9N/QihVF4VcW
JIkhu7uKbtjZNiGpIal+VJNNWaEgGX5XFfsPifrqSTdJ8ROrsX6QgqULc1rEsCRpVpxIRfPf01D/
X8vl/z+Cwd0MnDc5+v+k6v5fgXAkc33/zr6r/60e/j9+wL87QMN/CTyJZzMikNmLpcBi+R8OUA45
rCXyP5Tv/8MAGv9LgPuTX+2jeEZfjQ3130XxvvoXTPgAFflxIaYZcqb/L1TxKFf/sxidlxUlugRR
J3wfwzK4uf/kI+7TurO5n7HpzHNutZlNy2M4gi2GLj7fSmJiIIoTWQkdyQMY7iYIIs3c79oQ9YQT
BSSyMNc7r1mD2M1zS4LC9JLz75EV0Q8Kh5gxTbTYYQ8EHUNYq9AtycF394OhQ39oJeXHyaFx+oH4
CT9O6+UN05TGS1mhosCL9j5/A6DtaXDwJmh2cN313rWG0Tf97K9uJZBrn/QBIgEHkk+1a/w04sAw
sXmOUfzfdoMDBa8PhtY/9UsxHGG2UAQ5muH6E2tGnWyCroMmZyU6gYbD6HlCbEwSXI9zDWyN4V7u
nX7MNyKq3b9Z7rbrHgpLPNH0OMEL8TlBdYzREX2xOPTnYxQl9jdL1OkJ3niyGxcgzFy8nWFzNgT6
OyvG5YxLoabw6lT+I3DUSKxiENVb07ruM6l8AyJqX509j/E9DHi8gYwmfLURnkneJuXbL6rfGxZl
9TkpfLfFyBaFqGeRghNfGdiilvsOOdS9X3vmniAA5yrQTB37NcjXByQBs/fqD62grg9snx4INxTx
p56a/mxxl3v7Knb7ebsiUu6PdvGYTW5QDg75uR9H6T5Gt8+lpE8XkPOKCv/E25hZepBp4JxPVNd9
+aPAgGn17cPKzhicb0U6nDR+THDF044OvYxq++gtC5uAmiwb7zENo1RvnJBQN7r8fge3kwXSDM6J
AfvfwvaYE8rS3xoGWmcC0DTOpQRpY+/5h4TpwVbbZCWCLcSqJXLO5jWYDnBQLNMKiaKJYs4EOxHP
4auOl7PpHK/bhjiBL041Q7crktexiFJsxfrTR9uxLVVzx/aIkNpY/uPV9bnRw9ksaXN0Krc+ojf2
t+RY5XuxTs196gvy7nhsXohgcc4KDxdJQwEfXQ8kuA4IkYjb7jKrnngUJ0CeAx11TaJ7mM7jPUME
bwNLu79DgB3yrQbZP5DgqmMUNPVnPsnmQYsSLpRm/J7GLYbNOCPVClnjI61fuCcPqn0Jh6B9GBpE
uQGD0P0KD6PYLJlLRGi1vJK322/shLDYzkws+zAcLp3KQAPFbbJj2etsQAv+ar1CvPatV0L/YugT
Ios4qKQK9kGDoskjmHqjMVHk3jTf96DnUGVnbo9MS85vVdY96W446sVdDYNnRhRDkU2PSVaNW7na
iYVwjhwDG1wrfeIPh21q9UvgevR9oUPt1f2ZZ9T4xiMABwExTpxp2jao+x6xh6Vf7Gxm4m6ICKeB
a74CuHUcRuIt0Dz/dFYbSQghqeNHb27iJ2dd3T/DbYGAPfXaqZAwQ6Mo8WO4Y3RFf8Nmus51hkzd
OHzzHaN4p0Y5g8YF6GFF9CAtOtGconI2Ip/Cw2pbFrGZE0IlAnzObnXZmjBk1mnl+gVoCV1Tkazw
noL+KMD83GNiBOIaOea1lO2rwnpwQX0SUuFU+sCUItxHwYKXWtC0D0Qa7ZF1MilhjMKuCpDYzta4
fzLAnaQyOHpmHOMLd0sCWrqzVc/E2E18+5EXWB2tSBiExyQBKrYQ+ziTtyy94W/X41dw56i/LCoR
hwyfArKvgLC0UtdPTPQUucyjf2GsWv5qkZ0fyJlCpp4a2TwFkwvHRbvRiSeBk3AinmkvbR99mthP
ITFqk/8f4DNK/herVIQxyL2RRdzQ9QMo2/+FcoFyoM+KzEWu6Y8sPRPP1Go35a19HJtavJt2Cjjj
WuLhjOjXekPN3rw1vWP3Q1Z5/1DxxcWdbY3nYcQGXu34CoXLcPv2ybnwuKYMivZui12CAasPaRE3
VeRlZ0mKjnlcgmoYyBQiXWZUonyxodsIhiyx0vKKljq6B6hcPmURCa8BQ0iCqArcTNvJn8ZfBHM4
ZKxl6rMcIXTqprSCxbdDL+HSpxpcDMrcx0k5no0J7XHmfL+uqUMIeVb5t2SH5SSxReP41YZJFpsu
UbUpr30yfcSFQ7IGVDYmBzGdfkuiEWs4kps9hLCHcOHemmhCNm2wktRn4hVOoxpImdrQOesKCLvP
rH2JXH0i7FPWd2GAuJGgcXb7s3b+QAOyl/EWsFOlLfX3AHnspSwV8t12QgNjR/FEZmf62huLagxA
Wp53Ehz7OhdMubz2EQe5xFbhRI8S99hn43Rip0XUbyeWzwcmQYj6XDvtOzebiBWIXjMEadtR/mwK
e9Xx9N1O3nHOkFcgIwkeuuKX1sNL7HjRXeuh55ZETu9Qw44vmVsSLdjywVFvsGxxe84VA5YW43L+
7fUSp3IVLJs5xFjmNJhp5/whS2pWTSiFkcNmpzAgH5FrBYnmpKoPlAEsYkdJTPTKFJ6VczdqcP0J
ea41Imqg/uPO9btfi8n+lb0z6Y0bWbv0f+k9C2RwXvQm50zNgzV4Q0iyzXmI4BTkr++HKleXraq2
v/uhNw00cIGLgkqVykwyGPGec57jrpVywhVzoIqsfFpfSY43d2nsvvm1o29rorDEgvr+su0QB3dG
kLQGmG6aCI9BbzkUhA6E7b4Uk9M84a4GHhfkfujsQ2dgGoPlgjS3dl39iJvW6jdhaTYvk/Dy5y4q
nfnOjZZAFI2NZHiBdchni4qGS4Q9+xLPqvc6ZkQG8mboOSO7tvE6JHlL4skbRpjYnQuI0Uw3fuLj
qisz7862je4NxYiaDRGWd6KCQgkcIZ/3bkFgviDIc+HrRIGV7MNhHdEu/tktg/jWdDqcHxnrjZQj
z/me2Zzn6BR5zwjuZe5Aw09t74VdLVKBH2vKEEdTFqd0lIbg27QSk/SBkd+OFZ4SsPTYX7bkt0l2
5AUH77XDhqPdstjBBcm1prCVFatZaTX3kq6qKb4suzjk4xQZj31/nrcWuIzbCUjnI48W52vPwOfA
1gvICYl4JhbYh/H4Ap/jRuhJ5U/hzOpH/4Qmb2NVD56b5Rf5lNuXtVMOtzFn4qceO+Z9WjrGTqoo
vsXXyZbHNlV1x5+R31vzzLcrUx5NM5rVyQvG4SyRjkvvIrC48yTHIbXoLe7Wi6iZFUo8T1RInxKf
0lA6WPKMc13qP03R+G1oesNcW9YwYDWrdgLGCiuWm7n7PJ/0Z2VPHOsj3WP0byvwkK2ZDHdWUzhP
kcZhwzcKIh7iAJUaq9Qf5sMQlPbnOZfmhoeS8ex1aXabWlH40rRS31vUdZxnHv43atvh3C67cPfg
ZCZyDNMsxi8W9VG71J69N8TB7MBcoaOwRc9Y7N0+hxJg4fUf147ups9moIzL0WxKgmlRBtVCVFF+
ZjiZvHB6f2Q+IIYvJpCElHuuDR5pclDdKguFYZ/VlA1x0hBm/CT6cYrQZ3VarhtD0XnT8bB4XnCM
d+4Y5Ex5InuNRoeVpEU63bRORGk7E3VSIuMQticWvbbfmNOg8S1HkrQYZn/xGTDHRB+xMyavE2JO
tOAJh4sGGNlKiqhUqyL32/ksYI9tWk0en02a5WVnjx11JFSknEep15+SDFfDHtzY/NCpREDl6Kz2
4BKr/FS1bnLdeVXwWmuruxssjlBEWozl8MQcjIsg5iaksYdoPVlM6awZmHrnM0yIY4q3h/OPLkd6
XbsYGk/gOLRXuuF835mpcTURBkaAMhFjMFYWxjdkY6ZnbQnchaCm6V7OIVwUHhn2cCFn9Jc5se3X
2GindsclL79OXQz5D89Xvq5TGT9VmgH2LkfvPfacN76JlGLYpIwLCds2heUgU1/TPD3kAxaVXD5Y
ZTbTMVTpclsYJoPXRYTdhgSaYewYLabUPJlptFVZeMUsKrzl86kux85i1+m16rmUI7ADFLtqo9i8
0GuSyua57OpOrkrc6WodGWQwrXjUR+UYDPBwko8bhtQYyjO/5nrMGqJHjtOkV30q4oM0bGqBR6hA
B1WlgIIKH6cw/hy4RmucAD5WUOQ6gpsM7GEG+Z9whk+vnGMIOWU6xesmqwkmZhml6lJNerLWEHr0
9aTGJzoI7gjtyXuYqzLd9rqqr3ryKfX1kOvkMMzCffGolOFHU9Fd4iPWR8mQdNto0T710m6/abKd
5cYY6+CuNnV5NztZ/DCNBU+ifCCUUiocOJSIBwlCH+0MOzbCxkVM5yqRz8YgcBdnBg5wO/mkBk+c
KAyCWZunBUgS8CuwYAEfj9T1JeoKh9FAOlbOt/hC9cr1nfboe0Pw7FumvlNst/TG0kZ05KjkxTtL
28WxYr+Jw1dO5WbuuTrXQky1fyWtgow6nQbmmnobmOxytF9oxlTHXpr1JWWCTA9DH1XGUc4Ycp5s
2IElZJcY2EpDXxtqLFdYCsY3H87Dl7gpmMT2WVAqplfDsmNlnXjhOAvEkyO8T+bSQzmvDIg02h19
tkXZ9BCPuJqo2zRA5oYhUJGVvcDeNhB9FsMEN/YEPXq2N4aP2Tmb+w6uZ5FZGyfSNVuzwq5otzPw
CQCqlxcBUs2+kB5c4qDXT8QSo/yqNEpMUtDsWTeb1CQmwnpun8lOd+V1w0wWgxQn4XSvJRVflelj
6ClCdkVTk1DsaxMo4mIuQmw+sovfZrVYuYIAZ30g9Qwkp4xzpBAVKBxeBQKnPUbTdBqLwYiPAZ33
yTZy6ulzE7JtM3HIftKMn7+6NKweTSOsHl03Tx7CaujREoU57kdzKTm1nG7veRooNF4ysgZV/40m
mokTse1kxErKimpziaF9M4EsxiDgGliVQJ2H+cQ5juTkphQ+x3ysdpBiY999c/yYzkwvbNz7ObQo
jWUEvIpD7+Sng7ObigI9tA3nu0FP5iUAc2dDSTke5ajVE93zWX3bAjV4q+fmvf5I3hWmhkgLDr3f
QUIyOC92dno7M5QilZ4Uj05oDJdF7uj7mvLxI0dH8Ix81uZV6o/BJqya6KItTPc0cMPfTx1bf2UU
0yH2SXJNqa6+IfpVV65Q7j2XPTvhzDlZaWsftRV1T0iHzlnpWfOZP1v6kLh2f+zp5iWRZFcU98il
zPeOPbm6GX0tzwixOedJb9cHqNres8k390prQkxWznR39ImrTTRb+XnTV+l165NZpKcEJwxMe3wo
zBnaSMTfAif5FGmjIMPZbInR2nv2diNxKgPeOSP/867pniluqcCxtoQFk1AR/ZP5BvAa29M5eMQN
FV5USQOrvk3fLEjyy7QiBxaQ0bFjQ7J2RX9aiuYOlAAVZ1GQiU0HEmJNHVjxmZRQdTE7mCxCQGkL
+qs91LnTHbos8zdGF2Q73k+781PiJHW4pzEp/F1RzQf0Bqc4h7ZnE1yZ5RCK8ZZT3g/AC4PlFzZ7
7R9JiAi2ncsuLbDr+JLkszOuXS4hXOaeb2EbszGITr1/HEubgNkPU9p/YW9YS6/Gj+gN/hIfKzrQ
RIh8jmsHH2CqsB+lLpm/HycKurKh7V6T0B7nm2aA93MVQCzy6PHLfXtbzOV4O5B7h14eZB1egYH7
O3GGh1ELVLNhEirelZT+WLTNu6V88VCKKbdtDfdRdqK4DsOIT55G7qcAwgZjiWUgVxJbeyWRQckk
ArF8ZPxh7HTX2XdiGI03lURsvHso9EgivY86EadPXQpZjCXOuQjNlKFAMJiPAYh7vG2JvsGPmwUb
JrEh1mwzP3OSTm3sqcY4N9jx1YhFbA3MvrtFrp3ODK3ti74gBMvAttjZungSdm3edDiH/dEC7L8M
Lf1lfNm8TzIHDCiMSo1cJFtGru5t8z72JM/BCNR3hfmteR+MCoeWNj/wCJi4aJK0l1qPnm1KiRWY
Xf6qWDbsunN7sYljoFtpj24UJjbXafG+u7fed/pk99n16/cTQDrk05tLl+CWU2pwRf8w5wSrq+ky
0TzRulaGYm+/HyeYJnkvKT2p+JDC4GhE4lNMvemxoQUBSzsffD5PpLMyyOdITpxZKOPj+BIsJ5ly
OdN4y+kmWM45UaK7ZEuPUnmX1djwiRdzIlrORsFySkqw9G8UNuw98GNmlMtEdM1qYryCmOaQpZfz
VracvOhSsC/FchqbDMbbErv1tGaWw3GtCQE+33kwFZ9d3PUvrj+b0K6mztaPtEDwIVFP4F52M+fL
/egge/MrsnlSUeNVXwiN9Ok2cfv4W2fTuH3969tEvA/9fyDUBIxbfFQJ4Qr0CStY+JM/3rA9giu9
bDxOcF1YF42Bu7UeU7lpFdEYiGLBUQYKIQ1PNFKUqq8C5KdznJOAWgxv1CeviyXTtNmIoT3B2FlS
1OMtpx78kw5z0idVDg2s2NSWdw5Mk1UjMocZYDpuPV9f4TYFHDi2GBVGazi3gNmSX7V19FYZdK97
aeMRfZH5DU06mpG+l50gD901dnJVieg6LLR1HkdxzwQY368Z33GP25dmOV9wMANBTkfzwIpnItMz
r8OLp2TgHRJsNsOq89ig8uwwD0PjF9eYU81ru7Zoh6ihhN9bPvbXeMgos9A96L7arkdmbyiIlywu
8jpQrd617GS6jctseSR8bYfD1tUFNZHSBF7eW4pe6NJrqi+wUuhfycHZka7srgWtjA8YcaJNbWdk
69y52IRSUzBqFX70nKAqPGt3wjU3ljUtoB0F7GkJWpunruOjWUAIwK4bH6rA5ZZzvJGCDVd5ZDPK
bPhSRnS+r4vejPachMHF6jacaA0XigSK3w9AzsHt3URDmLyWlhPtOz9OtxR0GLeayQiTArpwsAwM
pyILgNvjerlktDhzVbLpLCikOsspPf1MPWyz5T/XrS0jqG7pLAmWKo9GfjJJJK87YP6rARijXJSc
BMRnzyNtdgdgObJ7xqGW3htJKx5kVlZEAGeTRrVBsjTpMbuBJwSHhSj/mcsqRboHLGSN1rAd48S/
9hMr+1SZ+MRWeRIuBjA+mVNqmw6Av84DWpLP5t7zE5P7Osxs8BT1HXU+zW4oGFCADuVJNCetc+MZ
Kr4YZ72YIxVdbvgSqi64xj7T26tmEZGsdz3JAuaPw+pdZzIXyUkx1cXo0yxKVNQWqFJhOmX5Fgjg
q/WuWoXoV+JdyWpBRO1InfkPxbvSVQnDoMM8BZ+zSlm9sc94efMcM91LD7bjWfHl3DQWpGqeY1+c
ftRAg7QI0LUXtS1DaaZaUoFQXHEysPH2Yg4gwzhn2xH5+Cjp8WRfLWEUr3pMgwvSLcuzQxZ42C4n
BhjuRqVWfWaTBEwP8n2mq5fxbu5aTxJvGWVI8X0epk+pWm4QkaEMUfUko3kmhRD6u8aqqRv18nbn
IrSe6QSJqDVq99DkU/vy64XqZ9C1zzJlsbFgkXLA2Fq28wF0bTKZzxmJ+scwdi/j8IrQyXkz/Dck
7gssYXVbf+s+tpn9VHl2X5f87+O/8lP/GcSy79r6Iir/9A+YAtNuuqGafbr92vZF95esu/yb/9Uf
ficR30/N1//5P16+lGm1SWH2pW/dj8g2G/34l2DjuzTP058qz77/ynfMWwCEOABd7Hps7eCq/W+o
cRDQhmZ64m+W21+KdkCtGf/iQn+j+u4divaXou3/wdNGoI/7jkmvLcjsv9769z3dLzlvYOt+2OJ5
oevY/FXgcgLs6YHjfhC0sUKb1VgJcXAIoJ3mJScV1+mFw4Dh5GtENc4GC8WqrbeAgfSndMwZwVoV
eTvosRsLh92qpN7oLUMD3dDn699WVCAjNTbdRcno8zcix/Is/ftZ+8+/98Pm2MUi2KUkQA9hijcT
FnPJw9C0IZ5EG7MxcbLK0Lxg6hvtf3332M7vPqoP6krjOWWjGlzQdLTD2dVddpnnMtjNUtdbYur1
Zg5RvHhgESwV7pUelF55Miw3IQbudda46jDNFSuWwfm+BhK88lVyJULRH0XDp+fZ+qqwo5haZJgG
2OKZtqrKPLRzetvQ7qKKdKlbcuEmSAP3d8Mm7CkHjjdvJgg613VSUgXVlf3dQDbyPKfPaoXfKN0W
jShPZWjWFy7yxwX9F+Nz0o8dSf+mPsfuK7YYX+VONWB8q7cJ5/2x4PRvdJinGI9gkSVwRGcHXR8+
BSj7wi4CJqlxygO0f8tU2HbotKLH2O9iFaugR80UkmJ+ZfSjEhqqakEOyIuu+mm8kVmjju24GQvj
yWmr8KwrsvI0ZeFjOwtj75L0VnR3wHvwxHk2xxcExFNsgvQABFOGGblf6lop8hgC/6Urh3mD24c2
u5B9zYDmIIbpSlNqvgNm3G15gNsgbezuBOdMI3pHlJEW6WWN/36nWZdVXN+jd5yieYroWG42A5BA
YcTrOpMnj0zFKmZnvqPhi/4VHjy7lFHsvs4CZytGxGHAL3jXJrPe8sYYLadNd2QbYX4mHh1vqWsi
4ONaNH8lZXoz9qF94q4hDtufRRN2DycQw65J9L0ejOGGrXq30SW0usbrd7EzNgcKCe+tSo/bFHQA
Fku+k6SmMzfsY3s72HZxHiagGvLM2raBFx2DyjP3XZpER07+wTogyQr1jvl2lnruOuwJXww0r90b
Wp6gPW8NoqvglMsjupS9KZK02KYdV7Nml75jU1Yz8QnHlZ3T68q2gX53uoP25lC+On5135GZV0zc
9gj2NNoE96YZblqPcJmAfsSuznFXCKYHz8aikEvbX1c+uZOC7g36oZvNGIJeG0JwMHybq5J9lOc+
AKFCA7enYJW4TbFBps+WqG2wJr634bij0OED8p7FeMsc3DwzYvQqdtLERLBer+qm88+musnvMhvL
+kTSDF4NXkJ8q3mgDRC/qCd5n116AXXTE6bNhUSOEpmZejMZYm+Mas9Z09hymLjthQ6QyMOz2CXq
Xga3aUCEUk76vtNEO5p03XXJ5SAtQHfuvBlhemh2poW8enfu+WZ/m5Bq+CTAiuwsAnsIbS95ygzd
ixU+Y8CTZXXfGmoLPWAnk/LNpO26m9FpqeAa1lJQS0uPzCUCDhr9PBDIkkTA8GAo64os7SmLKnFR
epz4iPNO/i6OPIgDbLbbV0sstQ6yMu90O+0gX4tboyXTg5EW8TYc9NsgYmzQlQK3JECsvSRFyj/z
to56RtNbF3RYrVHk7FUkm2JHjTTb4mSxDUq7OqiGRguRC4NpBLZlVebuTQCDdlUM+XyR4Yk5wLpK
Tjbr4oLX+VSmKdT1UI5nkzn29ypkpjJ3DlYBgDd7iL7toSj8lHhS5S8RSQ1tXfbqVkZlfw3tujmk
NfCdiPryQ5EB5mCGmaCSKvPck9FVw3xQCXva4gK/n6qsO+VMzrgEnYd+mpOtor6OEkrAL0pUsIZE
oy6xLvdrMyAt1zlFThgCaSnLZwBubZsemZgRHDLUUoSYkjY3MUCFdes+lZVx8qOZ9Y7TWDkH9BaP
QbZBsqP3efRnQGD1N5LOB5O9zN71IEchB+SHNkyfbUPhDUmjGz8lg2MlEXMNaJMMtgmVIlRbx7LJ
qsuZEcJvnmPLNu/DE5S2VJ77nFht2k4/nFYJLY5Z1c7WgTsYLR+ckbHwmjleUAu3MZRvbFJp5Xfd
3HSHHP3lEiw6bmiCZ2dQoeQZmQcU9LZ+8tJM3eQj7SJ5olj5YquqLjmbL2gJVFK6uuJDGnXVQQBn
3yoszXTmmSclcUX4Tfyt8ihqM7q2XjPJJyDA7cZI7j/a9b5vGH56u8tT/YdpWuYUhajZjx9g6kW3
rdKwlaeAMXjAlOnXH+3P47LvL+XTW8NAwHECb/n5Dy9ljYxOulyT5+r9b51PumJync92AJlGuc3T
r19sMUL+83v84dXYov74akYaQfCsM3Fw0+F67l370S6THht6/MVK1eK9zztCeNQgB52YD52hKUrL
MR0EDD4vwgzTP9/kpuXSZIaid1nbd6c+4obnqF5uUhgHG/gY5ibpMneDslFdmwxqVoz19ZqRAf81
tDjmDAaMTh7Ucnlk44o7+/X7/PnU8ueHGrh4QX3bAmHvf5hBWtCfLCKL1qEO65uamNoBHW3Vp4n7
mxf6gDz+5yt92ArDvyfsKBDDhrhHx43Cr9bcIgoBXiMH4r16gqI47XLwxR4CDd4f69/Qjpev7MOt
yY7f8lxfBBCeP57Q8pJ4ALKUdfCkG+Oki4DR2yJn6+YZ1+lApSo5SYrafv0J/9sb/+llP+ypBfEj
ZdYjYVXHZRlQC1fC4smsonzFwdU4VZO+jIxWXRfLLscfyaj8N/4EvuTQWxqfGL5+WJQK09JtQxvD
wU4Zu7c8EtEjSZB7Eehy5k5F4125gcl+0/Y+s+rL3a//gH+5dXEP//36H1YJsp1tbVXkrrqi/8xw
QF92VWSfSulxExvxb0q1lpPCx++ZLgh3oXgLl///+dZlJGqorqYswrXb7Nwac+ZeeNq3v35P/3Ln
8Hn+/Sof3lNrm/ZQuLVDDENbq5E3iO2B5D+ztN98ff/2SstbMfFEc1r9x8LXhH0FOd88zNE4rsbA
YiobHrlvf/OO/vVK/fGFPqx5nD8od6Q0mbuz8b+mY3eVQbdDzA2iFfEv+y6PO3xaVDkn5FDYKIum
ay5+/bFa/zwHOqbp4/8OTEQqzu4/f3sMvEfpp4BG4WY1h3lUw30jHEwIqbYPja0/1U24AF1in6nU
xPYtTuTalxTq+qXxguKNxl0bPB3YXVRnmLYfPWUDg03FQ6ZoVv71n/tu+vv5YsOtAxQeTWn5i90P
lwHs5zwqZ8WfFvdn1QROBusQReRzYTLanS906Olt05uHvqXfOB7TZsUh1NiRrmP7vnR9DCWPDqyC
R7ap0TarrU3ZcKaB9IKhVstvTTPGR0x6bOEIplj+IFdp6XM8mwIPE0qKaW2Ge0LgRa6G4qsgQYiE
Lcu16Q3Oedu2f25x/m/HLP5rY6r/t8IY8PMdlu//cwnXOnmpvqTxi0p+HHExW/z+m3+OrHzvj/er
GxMpgT1mVqxQf6Yw+Am1A5g3PEaJob3Msr7PrGzzDz9cevQW+XJp72LV+z6z4keMvZYZEz0cFl1v
3n80s1qWx7+vaMZePn0AwCRC/go2WuLDDQhXwS/NMpv2HnmsTyVwkCfpE0UIRETgIguVfsZu+wp7
T30NlF19HhejuwdrrN867cgTbIAq4LtG+ETmuj4NJchrK0iLL24R94/vH+//vxh/MzW1UI7BRpos
0b+6GpOXrkvbf1yPf//y9xmq8weLrsPDjC1gEDIz/euCDMw/BAo1tX7LxptsLz/5a4rq/GGZ4r3a
keQbUjZ/y/cr0vL/ICzGxY3Izq/6vv2fXJFc5x8uSY8RMRcic17qe7k4PzzRzShjlQUtufOdOhE7
bVHnOrZ4ztcTneT07jTYM7Yqt9hCDnE0ZVibm37ewJHVxiKiOesxZBNdjRZ9npDT4NFG5BoozCnu
8nQ07l1gLsdY18O1V1bJGZFCDvHK9cs91rFw69tNzuO9Tb4MdjAna6gxAUsuijHyLxbdOa7QZqKi
Cs44pkH8S4QHKgs7zY2n65JEyHwX9+/kTWgH5C+ZoqEDk65WZ0lAu4UOXFPsprrvqcnWMfkCv5hw
mVVilJdYzKHE98Vs3kVuWjzZWsd3YEJANJsie5XBFF/gRMWXNxnD/IpFy/2sE8pfO3xrLyOG/nVo
5UcIZ5iVeBh6zN4sUiukgapr3bbFVTPn2bYy+HQqoc9is8M6WCaCThsl0CyLeO30abMhMGW9Lo5U
zO01kz5c3WlOQ4WXv44ejmAyUkX4Ja6hbwtqxsAe+UheuD0NAZlDQOPrXBNHk51T+E7AfJVlsTjB
1TBo+8MD2yH1nhGQeqD4ICL+ITRDmrmtOBFl9OiuZy0rbA9zbm9s0/Mvem/MXtLKKb+aAsbvXg0T
FCoQ3ZRXmeHUnmMWgubgUjuwKstZ8DksEea1V6E50Z9BiEh4Y3zRBUx7NKaeZxhLbbcue7biK0+n
tVzZvvDWeNWTJ0q5gM3ZpkgOdsvrWJMNpgkaUhCu2RnR/Iy+WaHCRiokyh0iWkGi6L80qhqTHTAW
fYC5Gu793p8I+8YeHL2mxwTv2wHxCA597afOscU1IqVzHnl9ew+Krn6JTTvJVh5ZKGa5jGlJCAW6
eZNwJ57bkMqJDayyFN01U81nqyfUtJo5BeX7LKvUHSe/8NpxLCPawIkNzzNwxNdlIjFDBFViiXWo
A3UD+Ew/QO1D64tK0/jaNzgbN4FlqSfHz8tX6AX1nuQcP69FON63VUUmOu7KQK8UJFrYDxQvGavB
ADTQYQYimi7o6qOGehUn4/gQemNz63b1fLShuHPf5vKAtdBAWWYUS3+dFZobSShKwlET+WvMzbX8
aoTLzlFFIQ9m2mZqCx83OA50yl8XtGsxU3MKbT7GcjKfUMcZTEE/p1YiYmK8ClCW6z1zTk7ltjTj
VWuq0Vr5MogPc5tg+Y+8r1Eh5ucx1lsrqomNj/ZbTfEuNuA8U6+ke0nU4CTSz3rIqo1cUOrYVsd7
ZM3mPIE1d8hdR5xAqYB6cukbXsdgAraML9vHufUpHYlbzGEiGBdTJ4XrQMlI+9iYxdcVXusdQQxk
WR1Eh2lK9vzd87aWYMwGrD0rTARq38MAX83Cjx5CkdG62NnU03nkPtaG1bcMWDvVyPUYl3KTzJUD
AHhmD7guRwBuW0FDGCyvRKZfs75JPs1+kpyZucVkWnY2R17DEeOTwY1i7aSwVb/KpeyfSwpYFLcI
QItVnoJBXs2lK6+JZ5bTjiISqnDKGSw7EkeHB9plYel7r7+UcimKmSpKlTtI9U/tUlWH4+9LXg6A
JivFOj0UhXeWhPnSLtYbGIfnEDW+E9nFHIgZ/mSih0cnitU5uNPk2RroR1hVbjlve8GYiQs2Chgy
s0tJ11LO/ht28+IQl92bKRfgVVCx6+BR4iK2ZYX84hixP64M1ZMcqbpxvKDGg84XSucnd9NahDbW
RtsHydoZqYYH5yI9/9CHRRIA6IiZxORm2H6dHCho61H7gHToaI6doTyoUslT5NHSUvJJmaAH4JUR
tC9gUBM3bJNDXXZi56ReZx7KuQqB7cd2nDKb95gF5D2jd9696bQbLk35TY9TcDK7Wmws9u0YsWfN
4hRCf4XHWIKq5RC0KUYpn1OfGAo2nCC46RolHiafjgXksBz8SFKLT5hG5ROAzQBEexHTBOhDusLi
ENtXTRdUVx5ts5/kRJ0Oy4bH5eO30ER2U2MB3GjT4WLyO/BLpMDiB3KrZrnRtW99M6VpBWf8hYlN
H6ZLMigJpuC5I7qDjlGI9oL71i0PkSOAf6jR9e5Zm9Q5DRbZJQQEsWNA4290JEiqaAOa3aogdJ+s
C8BqO0PW6Xk2Rf7jlJkjaEtdXuUZRK5CyAYYTJ1eUwkDw2i2LNiPFNnAWZIPfWzmnxoAhBtr6p8b
07fvOzx010Tx6XgETX6Qbmne4w42vkJk1tFKxKLfYLO2j5mZUd6HGzu6L80Yz0ad3te1aVxHNUOo
fKp8DlVgGK6NTFjr2Gnqfj1OldthRp2Zd6dmVU2Qmaw8WU9+Rh1DVAR6uRIKu3khnRztNFl/PJp+
Dr1rrkdic6F/xHeCS7sY57cisdINvMIM0kjPwZoil/a8bGBTNaOXfk47vOlNPO91H+p9lPYV5sQy
fYn6iea/YMxvA38k/QmUB40nqXbSGDkXBgEw0WqUwWbqE0bggvSUuvDdsvwMQ2XGwW8hu2yporbo
jlLmkqxqWFwAwDjHPkm7ezmP9aEyVHIR5qbadi3tivQCMZPM69ygvNKx9w4L0Lom2HHv8mi5gbdg
x+t2HHOI4DldgGD925cZnzwUE+pvt6wIyXGoowRs1SDuTAe6lNWHGUan2PXP6SMl8+NS8rAunNza
47kS+yzQwSVmwrg7q9qFFRyaSXHhZX7xQkQmeu4xCd92HI++KVnYPk9lthLrOmmoQbRQKLFPTcpo
1m7cV8V1qh2grK7NV7yyyjE6qLajkaLD5vwoZjdk/jo113mDtYt6FF8Ssm4t+8VjPE/WL4uTB1AK
idqNYVAbl9ql9NWJs3nTuiQ/9nYCPxchEBn2GEa0EB66KfMeB4M7sirT4ZaiLeBdeWldjSIRpM/c
tkOgM1gePGoT9l5ZdM/YnusbNcUGFPO4T0/42uWZl+Tcq3D9MjjW9nSuPDmSNgZydcMGdsTZGA7J
U2J1UJmLcaAC1ckT+97MtHwEONJchy2+H+2p+TLoPULNPLZQXF1JFHWlVEpecSr9LzWiJgJ4IqZL
Y4iqU7iUKihQyMNaAWPa+q3vvc1z0FmbgKT2C1hTmGQtWs3WmZrhFTxEFuxCG181RJaQCoh5vBny
zur/fJcSURO4iRzwGfv3dkb6aZxHTKpmja+U+vbmOlgakRNZfnLz4rZA1UV1jNvzsEwc7tmIiEnu
DBAwKOmK13gZQdTbgi8+orfusYGhSaESI5N8TY0fwjbDYPsh8yJ5Hlp1fRvWtXc7MKS74PBSnLfx
VDwZCyR07RHvf8sRsfaUOS8QPKrOL3XggRpui05/DtLJnE61tofpkIfMfU5JJawCDFA8HTqbWGtU
xORyK5OIXkWuoljFDdE9BK8gvKxkTMcoT66vhtV6X+M4Uv12QAajwXgmnbTxSr7rlTvYqdiLOgS2
TJHujpx79jQbBrAdSPH2DhNwyLMtGR4s7G23/iQK6qX6+XpO7e6r/f7wVaDSV3zwxDzHOLqdkql9
1VCnL3wSHPfAO88s2to9asgG7yUhbkPAzAkSuMARVgpMt/RFEyCxr4j+kYyizAaMD6V+fM+FG/aI
mQ4yW99ni8tKtiwasBOzVdEL98mMLUm2UXatWpmpGvGxmM2bY8jugPk3vahhO96k5SgfVTgnX1rp
hoeiyq2HwTJBUulJx0fYqS00MEhERAPxZx+N0JmNY15J8wDLEmMf2rW1cqek+5xwSC5WWnX9OfR2
ukpyL+jwZVhMfjkSYENXozg0tNtQfBFhlLQoKbx1J2obQBNVTbOxG7wZwCDdGUoj1DCI23V7Ksss
8lYDdjIoi5QLXBMGnA+0OS27G7vP9q7ZZofAxYuxGoF+3cZcmYcRHOlrUM/l5+WU3fEKQA42vWMb
d2av+uuysNQjRdTTkUoTUMCSB/6aYvB53Vity08Gky2GIeqz1oTfXYcxnT8EbOpoXRd19lLWhUoO
okvjK1GXvIU8pw2c+yHLbnoK3xQ2O5vbpQSlU2QkXcBorCZS+Gs1u+5ZnGgLxYVe4fvMJQIFx3be
OsEM4IZMDWDcTA5sSGr6fU9tClp/482Os7QEe82h7TDRDoD5DI6mSbY8lNPSPaiu5athG2+WoLMG
d1SnjifSS5p7sPaq/8XemSzHjZ3d9lUcd44KNAcHwODeQSL7hr1IShMEKZLoe+Cgefq7oKpySbLL
ds3+P8Ke2I4qKqnMxGm+vffacdBSwsJ0DH4QIXKB3NUFamXasLPnoYNvmbYSknCTkAhc6ancjEhS
4HfosWggw73lCDrbeRxz+hkhWi99hlHj+mB844MHWeZ9DFOI/s23svgw8G5rsL+fcnu5U3QuNGFa
CSZosa4B8aY3rHNO3H1v6qrYKyJ1h6KfohqqQD4+ChMv2Q5vdXnQwHB8gW4b1z6VtdmlAA9hHqym
odvY6ceOA6Az4FL87zDrm5Hw3w2zsOk5FkOifzHLWr+8UfnKdPVvVy/Ms/62f1HvWfzTlPW3P+W3
Kav1i2mh0BCucITU0eB+H2o55i+eIYTHazJNxVHOvOn3oZb+i8Xk1XNtBHymXQxgf3cG6r/olimX
MRk7BqY346/MtH5UxByAOswnHMksi98E5MVPumvCxgcJjZbTgUh5kow7KSIwaOY6HcXuu/fp5tfJ
7d+KPr8p46Jr/+//WeZwPwx0cSBKrm8uL2jAMZE/vVYI3bBkBhIAUis5h6q7KafFInW2RUkbiFd/
plDD74Ynz6IjcaZeYOFcW8/kMlYmq+0IGBy/8P7f/FY/qlrLJ8JvZZmLZ5b/8Q1y9L3AHgB582Re
B5sKpGyX1geA4Cx+prM1SJPMXI8djTqmRm7d5ZISkhYLluN1WO3szhdmdfuvfyGG7P/4Prkm9w8b
e77w4Brxz78zGACXq6iECINNO/cRgHpxAFAt7oCLBNdjhKWpsjVGZZnqQcPK+RiXBRi02e5xsyj6
uqLii9YU9m3QGRmmZYBnQtA37hTbagSLZhXDF2f8mk006ZAgkGVxkXiNUCdHoobcKVYmti606I3V
6tzY6UNhDME0A7o2wD/Tvui1tiZquK1EsU4yEjjknzmrH6V2N5jl3RzQc070jdMV8e5po5HiwBC3
oif0GEp89nV5bqW5Zx1d1c3zwnzU0M5m9aoVJzgkmPQH61hNq8wUnHAeVa+eVJ9WK/pgKb8cnYPo
HoOhP7jIbplistJ067zNSL+EtzPOdie5ymgbp7GRgrVpkzvB0Y6A0dPD5QXZebKH+5yKDYsykLG1
9tRJ5n5PiVJNl+92cW2yT6xN6eEnBNQimoui4aO1PkaOIa7gNbMBbU9trboEh/AkXe9IjIlOGaLD
mc39k8h3TG8hYPTELjnaD36Ytbw9vIzH4bEe7srGhsOEgV5DYOzwZM2wzB3uqmbSrI36NXKuzaIG
kEvgm2LJgWsAjrtjJXgyFfclrkhafJ9yNdKaKzgHtP1GLyoJNkK8YlT90rZfwX4AmeJ2jwmcCwuz
4pu4KfYuVrPcdbbkX/0woGBE9+zqPu6CLyHC5QXokVg7fXoNipSG9RmwhQ94c2V2gXcDW6H8Glo1
rRIVHkmfvApoRTDk7y0Zy1tzDssXzwJht7KYifmSowtB+ujgYMtzIKx/kqmp8ISG/edBYV3rLS/c
wfkgnQ3nKnzMq7TgCEDlMIAj4DlmCohlFcAduWf37LegyB1g74RPV8UAPovfgoZlm97hPXOZHiI+
LS+XSFXxGbP+td208raZlXPXmflvXoL/Kj7/fpNcRES2qj8XfNYv+UvxbZNcx/1Pe+NvP/zb3rjs
gGg31Fv+aptHtv5NgdR/cakD+WPbRGf8Y2/kn3BfYrE2MdAvMs0fmyMnS6QZ7Ba43zDO/5XN0UNU
+mHHWnQoTltQX8hoonzwQt+vxFVDZakoDEHLePzRO/LKaexdJb2HJECH0bHiZpMzMmwOHki231az
/Ewb0a73vkQDyxgFoacgmh/TXu6wTG8NrG/JGVDssRsYOznZhkbPSzToj0w8d2kXbqvZ3iUwz/WK
yQEPc1adaOuRPWDMgZ+ti3OWNHuCq4dUWreysa/wG+6GWtyKwLgCtm3K8HUMIwZo3sbN6ntXq+7n
MdgEEhxERINYrtMZ9Dpn9xMA9ySHYDLSXiSGi1O5RH/zs1GJq0KMj5Ul4JAXN4D3Nrgtd6CzVwkL
7WQGDzOy09oNxAOVZ3ggk+s8EKSlIo/ZoN0s/hCFKZxOjdDZW1VL1tpWHGO9By6Yz4ngLQt1sbMC
eSCntSHI9pUE27qu8rMAS/7dN++fHTuWD+l7Hfnbh7hk90i2GnxrFpvOd9spUgHGWl0TG2Bja1gS
Kya253Cor+1punYaWsci+gzT2dloMMrxmP8b45X4+dyznLF0R+pUHKNqW/ZPhsG4ZkZD7IomeQYn
FWuT2zc0ziAoqMkmhBmZMDBTueuDmWni/KiK2DpzKtQOOTjXlbN6B4ncUJDWSF+lVkzZFNWPtJue
x6zZw1dhxOCG2kHvSKnP7NkE/PP1jnQxga8G4ckdss1geWADMrkqywC+rmed6hEiHYwnglOtSY1v
gBd3nG97XCNUsxk4yo0nqzZPgTNeKGw7FdA4jmVdhb868v7SQvqfmTT+9N9aXutrWU0Nnand/4w4
EWsaK53Fd+HPl8nLSxFXffOPC+TyY78ukJ5AwSYmzriT+I74Zrf4DZTJ0omm7dkSXQcH2HceDdP+
ReKcoIlYYP7lBsG69vsCaf3iLlEg/kS+iJ5FGPwv5IpYa398uFy+1LyMg9/IZnmkZufHh8umi6nS
IE3tkybO9/jt0ToAzIpuJhDYhSalvPCaUyheO4FNzQ+jefyUtx04OyN+IulQX7QahHMY5OPJMQd1
1ypBv3LOuWU2opUxCBCOY6lv7Zzaq1XUBNyP3fzSpXQ5NuRWRU//UJa2dxrjGw5UY/QKNH9mgpUw
blbZTeImrrsie0JLT4utfSXqXnDDoIh1XdlSPXg4hX0qJSjgHKgqaBLKqhlITtgySWCsZmT/XVyl
zl7j+m3vvdYb76EiRs9xVb0DxCucddhZ4PpoQfpCOewr7Dd9DzflKmGGQ+YyS08Di9wac3+7LsT0
oWtFvhZ9UTO5HSQWq4DGSpgynKTt/YTksxryBQ8Y26NPWMvwVQ21No3iZzUmLMPAChHMio6/UMvI
dbCtg06tzCMyN0kpvccyAN/Sb/mK0PfX5dWdPiRvg90K8hVB4FvRBHPQYCoOHkj/khsjc7M2KNSO
8mmQQZ4I79H9fJrUtXvVO9mtyqS2ywY7KNaVCPRb+CNuRYXZEGXAMA0FkIlTWOubgx5Qw9qkEPkQ
nYt93JHvC7A/QFAROeBCjqXrXss4/2cVsMdDM2fZqRqzLtkGs5lSnje2aXCakwDacORq3kmVbf/U
0V1AnKiWbbTzplgd686ukX28uaac3p5wcNqLZ99PWlBPK0G25qukBJKQyUhVtuu1jrUSTs30UOWU
A22In3s3nQO9bQWLmlYq5BBbrYYBHQxVIgEx0MrmMoPUwIRQJuHCjqA0JGJGY6w7hm0Izrj94gpA
kwN85BozfmvcTmnnluCZW1Z7XTiZw1DTCICcNMYw3CWNEwBWm8BTHfmGIVNkbkivBSN+80rTBngd
VZyfHGj54aabqqbaKVm3fOZT7By7Nq291WA0FBpKhI5WwUdJddoYGPtD8kw3nd7Rh4ZJcGU5TrgR
1pWri+esdW7o7dbXWaybfhs3+6gTxJUa/ZJV87e89h01JK9BJe7JuW8mQ0xXsWft7Ty95ENfn5Mw
WFtpScD8Ijn1r6jJTIlJzX7XMB1FurXXHVW/ByQw6yaeLO2drzO6EDdmpd8wKdRoznZvdR3KXTmM
K676+tbLKSXgr/phzbd5p9YtJ5a1YVTPuWYmt62uH0BwxjiUqSZgpxKoR4lco/q8Cfp57r1KC1ZS
a29c6iLbCbh1PUA2UDayekZMnOtF9JBbKgIMRrfGgCi0r6G2raQEd+VNjEyNvGz9CRImJMRSexEC
SF5NjKggTDVbJc2VlbMkxylkqEuaZeF0MaP1rBLqYlFe9DiRX7wpvDcz5IHYBXI7BFnFI5NsU8EZ
ybAcKqP6wPk6i5lwhDFtDHdsz6aZQGAK6FkvsgAbgXPP0ncJExtfRz2Z0IvcbYcxZ0qybCsA2+1q
r9nlldvvGGi8ZWBouPpP72EaXFvRwIR9FnIrWvdBm5XxPnRu+trP4cd3u9M/OUrhDfphuXfxUnES
lhyIdfxZ+Kl+Gk0U1ZJei2k40kLSc1GemLjkMzBY4VjZ11EpeUo0UgrVxgbdctHLMX4OkxK85KgU
UwY4QhHrZCd56mTJjTLBebJQAyhq5XsZu9aqMWg7wFKbTo9lUxhfIdfyPBvNMBCIrzKnXmX4XOUa
j1JDLUnV0BRuRAxKopB4+qExbBYLsDgnNSVKbe1vq4n2bWWhOpVVpl0WHAJ4kQZ8d3LMPc8lRqmm
Kch/6yDsoJImd2QiJwc+re4cmrpmmRpk+BVuPEfs5ZwObIJenRb9TSesjhwOT0vRfBsNJ1svTmaS
RjR0J8kmMblnQw2k5SEPETUKCGYQMe7m3MDEyHJ2JtO6xOrMYo0pyEZKpraEnjLI/IVJnsrp3g3S
PLCtQqKHVpTxXW1rKvva1OhHeC2l1/tyjidKnmeeFqknNAt6zBtLLC1Gkt7HU2sMpwlyAPYlwOyR
PZob/MCNzyCH2KoXFo9R7c033NcF3pQco1eTnAhPiRv4aXguqMQqPrMowA6rnXlrl2QigDxRt0Ia
LbmGyOe+hZ3dU0OS3DZ0jB+lTgq7RCU0Lhj60qvcix2gbU2nJ35GPVR8poIe98WoOddA+rSdoyLx
1Q0Q1Axo+TfwG4NVSS3s16DG6gFhoe6/THjTfOUq85qRgH4bKwm7zjBeBWVae31s801b2jWRxJwM
w8KAi+HoZnk57YzaOLLbLZVsmjq5IXq0HJt6M8Dj8pl2xo3hrupuOled/RyFM1ZpI3kC8lkiX1JK
X0JV3ACpRDGojIfc67hJ9eO+gQnMPlftvNF6C3Vj2Mpa+1pbSRGtCmHsqqg7WnSuAGA4Z5QMtXnw
FITkW+toAeC/xgZw2dK70hWFGFNPKTLF3G858sgVGcr3UoTeJe0rsUZLaLZEGt19aXQvMBPbY7QM
clqZRm8TrIYjdqT2Ni/N6QCHemnpBEuRL8XRSrVfF5utX9jWmxKZt8VcJX0ioS5V5HF8EjAPKRII
d1iVDPRB75IQ4vIJgpqbgnaIteUY5dZaigzqHv+fspvZl1WPi0ZlPnngY4phZdO5RGozuS2rtrvM
6J/raeba6Iiq9fPRvG/CYLxkhhEfzNwszrjKcQe0Bs1Ro2PcpnbR3tB8uYELEh8gMGV+OOhUaAW0
nRxJ9VD9bmqZeG/hEW7M3qg+UhUisKUUiAg0RgaAOHgsQuobM7bDdWKlJEeHcWFT9eYEIsRR9A+M
k/nkTP0inDS5/hzbcfdYdwLXSEGF5QfAKAB6eRBiGcSbA6nWJLGyw7MThdihmvwULHt0s+zW6beN
u/q2ictvG7oFnTjeu982evVt05+/HQAWRGqxGr8dDMS3Q4JczgvUV3T/VW7e/0PlZpkrMUn/89vW
+p1Q8z/etZYf+m0Y5aC5QPixpSu5pvPffx9GYZQ3QNJ42DeYzP8g1Lh46B2kGmlw3cKx/J1S4+Jm
NhefMCAOgz/xL7USeD8LFbprcl7HISktQUXCz5iuuLCrnF+v3sVNRBljPdTdQ6/C4TlSnbq2xuGh
1xrtDsYJkFICgdVpEjRo2ZVBH4YNJvBznjbqhdam+BCkXr8pMH9RNYiSDikPHHwW27ejhCnPH0/u
IxmqmzDOs/dEAsztW0m/iKeRficXJktR3lQe0P3aDGmBqo32CXhsTqm0TNcQCvEqBGl6M5X2XVpm
6pQZCKmjJYdHK5E68+uZ82rkQe7l4HVflt7zqBGvNYaQJzHFCSA5DO+oi0PiMM143baQEPqpvtdz
K4KiSDuQVXXeXTVq6brvO4hJ0Gc3bZjkm3DAjAjcyyaWmmJz0b3hyZwAhQPHzz48ul9oXw+jVxfZ
h/JveGd94bYPSW/mO1psOKYIaXlroSyHeGs+ctIHCGp8SbGXYuZgm9Nr1zsPxqKamzPOWZwHGDPA
YS2pGpITxMaF0j+XpMAhkFfkjN2QtvZVo+yL3VF3Bok3dR9dLWvB4Bp4dXBzg36avbIf/rsk/EdL
gsPJC538X60Iu/Ll+/Xg7z/x23IgfmGuwlTD4OFm0CL/mE1b1I0wGAYH/juc5ffZtGEvKwV6KjMR
dF1m0X8fvRiClcImO0NVBh/8krb5C6OXn4Xb5RdjtSFEyVTRsH4eTZsOAoqdDcMGJGO5gog2bwPE
XLjIEbixPBmP370z/+Ts//Pq8+vr8YI2fba8H8sg6LspKt7NNkWjGTazgEA5i/BDzUjG06CNv35h
GdGF7+U/eSXi6T/cMpBkmd7DMfJY7Szb+QcBtGfmZFkg5TYoB8yTcpv6aOJ1xiExzeqSBqG69LOV
7DKzK9Zh3XhvNP2oG/z56SH3BI4Lxsoc+CawFphbW8okUi9sngQkbjKYLpVEUobGsdfN9nUaoI77
reEgViWjSwFRPme4awerfNcWrpV0U458rCcIfg6Z+ROFm/pNjMkUj2E8B9jxHPHeyagEzEEFJ6ea
rP/oRy16DyVnx7SAaFIG2Xzj1SbYQEiy4a7misgRslO3CezWU617MOdrQUP5wujiV+mdIHgivTXH
K0zTMyHDkFsfgh6FuSst1JxdBcijXOVZQgNb7+EcX7WiMVkXHdV85JAMjk4rD07I98FQnOU0pzjD
8X1YGoCrNXbU4AhYfz7FNI7fjGNGvtvsNgx3FCO86lnLo8QnaXibCECcBbZIzjgQuDwzWtUVyXPL
05rzxEbj6z2FI4GOfTwzsCuvNcm9P04ZRxjamB61qX2OPQj4+ShSGDbw8EACELJWDvnbJNlmLaT6
KK3obh+7DYGtDZa/iapxSta4Y7SmdjfVak14nBOcMUY7hqFiTYPdwaw5BKeVxcs3TLN1A9xAEsOd
7xP+RzTBgkYixTbn+SpzCsruWx0AOy9uylxnUKKDamFC3pcNj04RvoQmA4+CDXMRUoZgga223ONF
oe0gadyWabN2l3c0teAhBCK67wxOmPpovtl9cDZS51CXSeZnRr7Tq5Gy+CGEON5at4GVjn6ZG2+J
zLcW9EfCHd3O0pMPHWz9Jg2aZ5v/owL3Cgr5BzSxM+D2Y1ilhp+qYHH/1vdhI3c4z9m0wKcH6a4j
lR9lTbypqEOA24htfVUD3AvPtKuQ6U/o1rpmUHYVU/NZqKTyBwvIgzVkJ90b3yXpCoweWBvSnA+v
GQlReGD3V6qjBKO3yHLMbrF0oDAW6YV7ZU4RTSDB+BoF7dMYmnLDubzlzWBsJwOqqa3wPCXUiM0W
WnuptYFvgpee0oDjrwxPYZCWO9mYzzjZ+QsELrsjL5cN8Wtgi12yuF0zCTymc7h4IbEvNYJETgaT
YW/JhKjB30rjSXQb5ZPnByXYYi3LWrIiPKhpbcIB1wjzB63zMOj8TQukHsXgaSX06tXjOveruPSX
tIt/Tjj7XpH4f38qXPzwb/0vyqCC1RPMfv78sP2p6zBH3TQvb+9t9P0m+9tP/rrFumyJS6BcR8pl
zyRZ9/cTN/wzXDlsveLXAzcSxh8JVGhpy9ZnWRz6bYsf+k7dgHvHT4IV/nYa/ytb7M+6HYdpG8+W
LkmvOaZh8St8v+V1RceMpLfVrko67x5o4HRdlIQUWPni5lXzZsb6OgDSf6MXGhwZf9oADY75wHhd
aI1oz3AxfnxlztopraVK4cbqg23cWHb1kpsDUaJYGZiP+m8+f2yt/XNWJdW8GQUYJN91Mqv3g3TQ
5U7PKjJVLSm7zwF+jW41AZdaCWMicUJatsY4XwURejAWkP1gGkXD7d7g+QPsiuhYle70aqEtWN3U
QILGK/OZnqbxZSJ29ZjjP4k2uqnU7YQfn92EPP4pRugALlkFS4mtASasoKUR4iHdu26en0QMIXwI
t2y4kgRC8ZrUJB46SxHnM8p1G5Rf6Wsxzi2C8q3Xpw7dHpKioEBLzk1eUZce2TSB+Boeok8a8Mdk
w/5VHibXHP0imN6dkqwZ94NtoBLzgLEtWQ9DdONGvbNVI9XLhVPSpkuFRRxTMj/AweVva94rl8oi
9rXFj1b4dkJrLkOjnrXQoiMcdrk7kgnkGBMCSGOnG5ra3kKFz3z88sVKVk3iN6P5UmkZdVqeOOk2
OZoow3dtNbsiyLZDw+EeHCT3AotWXdm0PkOajH+pBBkatMP1QCqIwl6YYjM7GeENjOuwqvJ12Yje
pwm88PuwNbDHxc4mJZlNfVrQ7TrSBAdTbw2yPZZ9EMjQNLiZ9cZo+v5I2f2CUCM/OSfj7Pc27jny
q/02wLxzjHI0Z8+miY1xD5rv0Gh0Qgpuc60Rgr0vNPFWGSrc90LX1o4mtStK6IuDUdbx3TRnbYqW
hZM2bPuYC874LZWd6JSD2S7jpLVwHQEziC5RUEcoXy8TBMzS59jC506fs/M5ZE+5OFNsvFJPkr91
DnuHTwTRtjjzDP1dWKZnnYbqDAlAj6lA9upDN9XkQoV2pEmsOkZzXj7li4N+FZI61Fb63EXzBn0k
nn0yiWSN6CKQ0o9DWWJ7ViSF9MCmwEqUabFmEmVfiRb8qQ/pJjtnbW7sRrpC8l2q0Uec21pTrzW0
pDWtybPJ2cTo9NXsSPeiNwzeV209qVtT66atCKOJ/TqsEB4ISjif286lnDcw0/mqdqg39msQ5XcT
VaEo9ZDZfUnP4JnSLBMX9kBqKqKjdy+8TDwA2EaNhBsdY8t2Ad6T08MTtzJklVGdWqpHOm3sCFXL
oTpLjqZ1ojatGTauPYT1caJO4h2lvt5J2iEeOavU/a6DXguLaQi8LdlOvFNWW5MhXYGA1u5c2TG7
9Or5lLZuAhvLNhvLx+iO8GLREP/Qm3FBpW2tnZpKN7YV/7GQdmPnrp/tAmzcBDEvm7XrQExvMkxf
2zw6GyrZVTgvtv1E7UiuzGyvQItf05ISrznsnuMOsL47UeTsdcthw9A47eoV8+9Z6/ZJVV8Vcm5v
6kR/i1JmpU1J4WvQAZwiLlVdCsdJtyZm6y01C9U2zJ34BsRWtxu11qVclzF3h3v/FecEHN1ck1c6
lfcE46iROdM6On7kjPrIBQ9mfAJqx8k2AcsboGhOits6zYevTjLER9oLsxOVEFDY8pF4ZWtgVzGM
ggBFXU5GhkmjnASBP8bp7ag908YGvLRt/QKTEs2nsNpa0hG3cNF1NOw4cAkgo2HO/fxeoRwnfkvg
ZQteK1h75uRcFOYbW6SI6N4IFH/Iw/hQdlF+o+lGUGPV7y0flk9wh5U9tR6UNjNKhLfcHdKwVl87
LadZiZlNunDzuR4CWb12G0U2jFCfAbZ3hM1vBw1gLhW+uipp11phu3vLhQFiIKT6WTzwbjB7+QTG
OgJ/R1Ap55rpT2TsDuGQXqkAPYBgB2kEM+doax+7LHIulSkjmvzsD3an+KoovWqXNXRDryTflPbA
XHb0QYSQ+yR1R10t2ACjWGtT3bzBuKR6KExhvAGUxrBvcqVtN1GjoZa5Nta+MVJ3Mf2uT13c0H9H
YPldj4x+N8UWgV3u3PHOrlEI9hgDKSVWSrlXNTmnR4fPyVejAZuTsPlbr6S4acc6eKWzwRD3CCos
s91cYBMtO0sfISLJJoH+pKPga4sTOK0oIw/j2WIyrL9W0C4XS8LMJdRQJ8wE67EpnrWxr3I/GlsT
BGGbWs56UAwHAVL3oNfgNLrGyqxJtQ2piQAb0MZwRZRpGDcTx2JgevA9J7fgtkB6KCKWv4aXpN1k
nQiuRm2o+UOJsbpiq7dNvCbhb6zNOpw2YXiA4A/Q2BUN6Ql2Jhv3J8fykL8CyTmlv9V4fsH1i8PQ
gsbjYjcd4tmLfNAu5l7TFqsmY+q1aWbnys3GzdzjdXMV5cYB3XbrOcLvWUajOCFSPoYYNzd1h39g
CAaW59Dq8BmIlgO7Nkd3+VhNG7BhmGmDDTAvY9tNvQkLHVEo0zpjpWO/eOMC0UFLV90laxH+YuIr
q3Kke35qUfbDNmh2lUM7Bp/QsOEsaHFLL7i0jfMnRADeyLykPkLyxmZ1EVxKFytw0FafqFTXHqhs
aPadZy9hxwVRKptuV8Kl2rECAUewq3Djpo3c6L3JdLQQck9qm6qKxLtptYnHNzfF9cjnrg8ZSXyz
URjiNVovNikoxl2DH3VlWY21pFSFfeK40H5GAOZDjbDKbHvaCm9AsnubxOioay0pK//sOXp253Qz
hD0vSz/a0ZYHjS3nYChGlEmVyXWP10VtB1svG4wQPeMNRw8+9Gju99LGppJ0GZp5kgC+1ZRLoUYZ
G9ENET12zjRUVGtB8dsRqLFePKOpz0o3Icd7He5urSq8mPfblMfQy4lnKwWPlQRqfB96hn3SXWU8
oBIG7xlKIvR5dLkdlQpxysJkBIek0+0jqn7B9W5cUO+WFh95VKDk6hRVhrtSd9NdrpvGo4WQvGKI
rbpVPo1c7s0sfGO2wWgBZJRT8iEU+U3qutoDGMVkH0ftdErGZN4VNFI9C7vLT309FRr3T0lTAKDQ
rdn2XnHsdMxGGzsCbJom0/Tec53mMXXJXjaOp+7AEFS1n8YyWnO0JSPL0X6bUCf46E6lfhVERXGM
AorOJ1PhoZknhy4pvgfhcyxqgUarZyd71KiYH3Kxx4mnbjXP6jhNyuDGaksXCctlBFS4zrOWgVGu
w7p85rbL/dQAgdqFV42byLOJIY+CV81Wku+ZwHUZRzr13jNQJGkif2IUnFej0zS7UjM58AxBPPpO
vdQW9i3mQEYpRDFIRwb5FXE4TC8Zla+gKzgw5lN3JzttPjgVv0FBQccni3ggSBGCVw9BgFS9mbFQ
GDdsEexvfeioiQXMkKhkePm5Mbdrjxj4VlrFvPWkqK96wlsEqrwXZtgGvEzsR6SGp52pErmt6yp6
49CSbTRZdRhh5qX3rB+nYpeTtDpUtWo/89DOdxphQX+2x2KXNryIq+nmJnHcdGPnGItkboU35diY
V0Orq/GltMyxvp0Qd7N7KhJCzN0Vxh9uIlzw4MeHybDqimYEaW/Sx4N62zG6kS4qsV2VyV0uhvBh
rIz4g8Y5E1+QRCOfqbra9Y3e3laTaXzuS0889OMAYmBqTKrq5tCbN0kcF/ckUqK3caAoQaNv86UW
SPtQGeKYjwNj+Z3OAfW9scr5GA4lfP48Huu7qTFYK2b0eg5srcGqZnc1A70xZcluWqt/knzcL2ng
iE94nmXz4OZCdldBWQtrMyeDWWyM1uX5ycFIKBpQsFqCAFhKDEOHAVtvTKQ1aKEa132oBQnn9pbc
cz5Jg/Y1nl5ajF1jXbIfnuijXRrRrLq6ChuICuuBgs1LrVWOwfPu0BRVqipkJtVbnzPa1XcFpbCP
FSzqF5MrkV+Lqr5rbHEba9Cfx6xdVxQznboJkTrke7jUOOkviRMNX8LCSw4SwfQxmZX2bFSl7W6k
N4nPMp7GIyOjaQuworw2Z0vehvgPaMYLx4CqvAVDUaWEPNzoPJpi2NdtT4iRt/BFOaE6Y72RNwI5
dJsz16TMxKHdKJmOFDob655J6V1BofTF66yezLTXAZWoK9Cxo1uDAgdQE5zKZm5YcZzgEkbuFyqM
3jR4Zrd9pS+jJ4RbVmsTWaiVyvvoKQX2oz6Pt5i/MQyRgX5sXK9/GhKenAxj3ROwgnANUse6FMS4
j3Em8lvIMB+hgIwMbs67qznO3mTUnnG6iqt3YYmZHZSQJ1Bj+TDT9MB4Vdc3xtwNj8QsMdhpaXTV
EvG9wTphbaYG8+QmN6ruPAaCug08NQcZ5tEtuVNJHjQuibwsKlzPnfQVW5Bg7FV022mR7Fq3bK6J
OaaH0qmfeh1GzJr537RQLqyePlLPJSlN2RVD5vklkhkFX2O/tEZanIG6xHxW8BkuSjHFIMToPcdO
HXwJYtZ8O+ScxrZKQCukdYs4R3FF/JXOZOiFlx7L3H3HKQ9nYaaL7axV2tESorowdROfVMt6T9q4
/xKTNtkEcxe/TPj4bYhdXKmNQjkXl/h+g/mZp4tqXtCjCrPC7LGnuIOt/GTijkXv2HauouRSAPt+
JM7THu0qSB61ku9VG8mcmyAcH5e6wnUeWcYN6o55DBw1rDXVZw/UapmXSMuLDzGMtGoASDAfXM6T
NJ6w55FzCqw3qm24YfXgM0562HroGkES7jW+aMbGon3MgFyU9k9YrOnXKDVRPXVjhQPP9UaDyuKp
enAwl78kwGbGFWCFuliPXl08gzIKXoZOX+h/IevLqS0beTOz+j3ODZDRc1JQP4F5JhcNxHE3eAm7
gfsVyHPrVclCPgIzmP3UccqXcQDSSYTYeaKehIpoqgDPpLa5KQ2sHfxCSY7E4GbbeOnX9jRWb4Ng
wJ53sr1ujFZd5lR1L33ek7fGR8o43SVaVsYZTlNr2lLsQRwLrtuqXMb+jQN+M0xz7c7OUttPQOyv
DAayLPHwUcuyeCuLWo5XHrRne6/JecDSiYN21Q+h8Vhw24hgF4zxh9IFAfxGnzCxTaNcBTNU8VVZ
TNNTyh1yHQYxiqwDdAN8D7LvTomAC7UZtSLfcgpAW9BV9BlUlPHgUPJur2KY2Ix/2pL2UrcdGQRh
XBJ5/dGmce1uamcqXuYmmD5KzqCHyNZYhgJtXkew49a20rQdJKXXNGSwRWUnCsv0ktEcQ3Uyz/RA
3ZQ/kCdeDmOPLDLlcWraez0YzB2BeO0UJuS5GSGD/vcyG42jPGPNATDRu5Swt+I6sIIcdASA45Ul
0JBWYwDrqiuKExkSeYhH0FhcJVz7OOdNX4Jgt5ZtKt+mdDtSHoBfsfRanjQ0mbGf3EscTtGaoQet
Kl6gv0Z8fV4rIFjzKi3KnJ/PFhyDbl8UN6itzKzuLpn+P3tn1iQn0mXbX0Qb4DjDa8xDRkZGzpkv
mKSUmMGdGX79XXx9rbtKX3WV9Xu/lEkqpSKIAHc/5+y9tvcAOYCI4HEaHjNkJ+WqtUS9hm8Dzx8D
O3YwUV+JqLouPaEP0w0dtSrUsOBljDK9crIjq81kvbrEJFfR7SKwEztg7ETrLqXwXHnj7NB/m9uN
IKHu1SRO0gWKUrs3jga5s85iRIl2imC5HbzmgNDUhfAlko1A0YmUbOK5zEn0ahmShLt2bpl5JQxg
zk69sD2czg7fdNTbu6ZWzUc6CfOSVl3G6CcGfN44vbyJpNMXzautK63DhxjxxcVURknjjCyrc4eQ
4yCqLD3ZaN/OqjXVOXES/9G18JCWg0snD3dd+T41fXuludYwdRINRxrfK4jq7Y1pYMSp0m3kTD9Q
GM8bosDEeo5s88uYSQjtwzl8clmZmGR12Na1mm1CGH1y4dEN7Wppzle4n8k+Zv6hCU4q/Av6H3Wb
jdHk1tOYLGJDlAe3GuZvI7Opk5IqfYHGwyo4Vo2m3+jib6N5BYjYUM2VmsB+dePJqTam2XPm8hzw
X2xmLXLJCEUx5R4itto2Xvy2B7wwQXqypiLi2yR3YJuO+XjzQjtf68k3jm3uKkJggZlNRqk/Tbiq
G4NMkE2DioHFuDlQru8zq9DX3qzaXZ2RBW6R/zWt+K08to5f3DEnHXYiZzvdlHEKgGPy4ds6yMvf
EHHSbnD9Cb9npmuGWLnd31t50Ly67my9gssmOb2b8A/SuZqjde+mUNdhMFAnD4l6zggNNHfwgcdp
M3uI+XfGkit6hu9o05JVlc19S/OjA/ESGW/A2ZuTb8YEO/YcojMGimn/iJClTs6V5yZPMWlisHwC
g2bvjKmCzFSddL9SDw8UaVfuZ2bP7qM/BpW188rcwB2F8CXfwWhh3Uo1IYQrgFF2x7DVF48NkS4Z
NL/EBmHiB+qtcwRh3MZCjwh8hk/HEXuCe5pp9T8njFDfNQH0eyMt9XVktMYoF/PErZ+imXbbZPsP
aqARJ3qnILKn/ZAWnLvQR8pjWUHwaVQi3qmJoJUEA/up8e3iNW0wAqxKf9S7zo0J9yitnEZKe+RT
mLcN88d7N2k8Qg2Aaj+1bT9uzHCan2lfypOvbe8B+hcthnTw1V3UzTihWi38L7oGCIOicjEPmDWj
A/LxDJwD3oDbSJZL7nlUje/M0dkgaKFOl7ZwvG0X3xLlIQvEYxU8Z21Y3kV1iH7SrRmn5riIQpud
4NCwzRB8Osftd5/c6WodM1hGzgxIol/RdSZYQAkxrtQw5cEm8Sbm2y3CPrnp0ZNnGyGqdMc2Yj/k
TtDexGTPbzTOh5vhdjCQiOXcg+Jr9m2jxIvIsvGKUsjZJr4xmLsqsdGK5zK9kjY0UZcDKfpsVRZ/
JPATz2DG+ofasDNNC9KKnbOGNWfyFSwcPhSX8n5KOGUxnzT692kmxxjWVdXtkNSmezNOxusY1A4y
UycDppjxQdwq1JQG0VfkRYVW7HXrxLGspyik0Qs/1yRPL/GQ4xohBXTgzpLttJFr7LwUUmMh5H1d
Wc2jjiqTiHZRXidDEmk8hYn+mEnlvnfnlBFpr333YjYGXoCkbNLFd6GtF5e4rzP+MzdaFzhIEHV1
9D9Xflp4p3Qywh9JVszfVMDDgxSWA9uqNzVJaz0e8o07Ccq4ue7zN+42wkPKPGEnoOs5XhtThD8w
JS8LHA+RtPhLnidAU1jtfDHt0jvFcWjuI100Z9Z2NqAmML8ap6vjTQC1a480w3hxjUQhOau90xil
+s4Z2v5IzEP3i8zqZO9y22Ju8QMidHQ7Mq9OcZbXebehhshTKI2EDpTO7J0k6/am96r8yRl7eSL7
XaxmDMNfZarBFM7u5OxVjhtl8R5yRgNR981SZhNvo86rHimR6H6rsnnJeuHfMCvlP2bleU+QGvkP
QlHC63pNWioo5JpQdcYdgM+MU5shiOn4DJ/KoWl/sAMV/gqNSYAM3xLhusR7mGyrJn7oCq95rEgo
YHrA2lKunM5xzoHZtg8FstGzsvghyH9QrWfXe3BHQsZX5lR0nzNttWVD7u2L3zXNDjseIpKoHPLH
LNZZuo4DRPRPIX7A25gxYos53NyZZuLeGG6VR6Dr8WNjI6GxsxF/Y68pNRzIuHWNv2qOh/Ba9JN7
4seiK0+38X20gLPz2/c47JFwJNX4jZLZv+9Ij3+YxuJLW3JTZF201nFFAl0aTBe3nYqnZBDDvq68
ap3GwdOUNPYWzRCyXJfW5bElfztFe0BSUWqb7rMYliRk1+PhWeBJTs5zvcKOOewwXSwTmo4Oh5EU
4RFgTvvp4S54CE0Tg5MjxvrR4UBPJZBLA3cPbpkVsT/qlPQSQN0URM1HhLLhjunqj4rslQw3WoND
IbK9y4B68TbSzvgsPWx3QHrCqKXcZXwTd9xNg7lYPsZwAV3468ikp5DVnf1LlcjT0cdr2GdW1RiL
1YEPcYlPmIq15Ihw7hDZvImILSsuAo4sKGrWmWUPCRAvTZx2Z6lX5qntseDz3ca6rQ6Ebfob0zPF
1p9Mv9qjI3XYTSOoNXinik9XhM2F2WG3zd3J/9VDfz0PRoZThu3+wyS1r0Y6nkMizMw+WKIdOMh6
KXMrMXdUMLaFJ6GxG1o5hUZ6zjSHdq+S35R0Smcd561xhPrPHUmPBPATfYxLOwLdWQeeVkuiaPwk
S2Y+IrCGZ9LOnS9kF+P3hGPrsx47NEEusBDW/7Ds7twg9bHMQYb91BnzSwC4FD20SDmazAU13qpP
WYz7zkdbWWTgqtZR1saXwTDN77mQfrEdFGEiDF/YuCbcEsew8swzF0WQB3vwuI6R+xwn2UbsXGVU
HdGEoJBXkQ1vNA3z6U37mc3cJg52yMXY8zGuthigzYVeFNrwR1svmS9dQnoOR1SCFxDrNacI/4Ag
KXXykMunCb08c0H6ZmPFbmUnisQpK5jkPfkFcY31S5CIlMbsYqtiSQbFVNQJ2F7jyMtkmRMdwgZZ
67pwHesl72vmKHaZndE8jdWqDQ3jSJO98DYwCpY/GHjoViF57S/MbAX+PwaicO5KKb90n5SEAguH
XAybs0vOdgkTga392JrYBDcelIZ3+s025OHUeI6W6oqo+HnXRcEIooT54HZIzGwzJrlJ2kJvf2VO
tWxiixkgzGqIk1bXhzuJimCNAKg4z4VpnUhgGu8nk4m3sJYmOW7IFWMae+sTxcKT1aMpSwdoe3RG
42agum7eyTWtT1NY5kffgMXWAsDaDIi3flpKppeO48S9vazO0Tz5G88zMQL0yl6HPb+aU9ni+Owa
8900dHLfRHF2yeBmbavWJMGb0M8mWQvZvsedmm9135d3FdFsjNHJIHDssDjmGCV+5ApoYaT8+q5Y
QIbhv5iGKhmSTbeADpsI5GGE2w/rIRhEzuu0if/FRvyX4OX/tEH/AIhYZLT2Ipb5n9VB+y79Vn9r
/6gL+q+f+i/xreOhskYLymQHyBH/3n/6nl3/P8g5MBlN/3/17R/AEJilSdoQbBroVBeN0H8rg8z/
sCzGgabl2DYnZut/BYZYXM1/RAoggF3AaaCAoVd43FN/1udg5u9deDPetpXoH1czRpc3SNvj/R8+
lL9Qwv6u8TUXcDnSI0Yirs11/fYyDd1jcn7wY7pO1n/2puHvfCyjnNLarN9HwDn3f/+C1p/9fRgo
eEUXxrlvLiIqUE2/XVgxZ36Xhe7Ws0ZgDopxSEzvIC5YRT1RbuhYJU8+iRiHNvQfO+RPYK6DYv4s
J6acJmEcJzBq4mTRHd0ijU9PEMqHSxHN851F0sQ/hXT8LpRa3i9fuUMeCR4m0/vNfg4zNZuGsUQS
E1bF19BPGaZni/9y/A42qYHCkKmCu4h+q6+6MuevbvSH1ylKoTd1Sz8X0PlLWY0t6/9c/fr7j9P+
9/uEtyeE6WEeEdyTv+m4vID+NKcjd8u+71yS2WL2ncjFSNoM8XlKR2SOJZ30c96KcWsaHDzwzINB
jDz/wKzVe7OnqLhS9p0tS1HXGbcxsiT0KTbQmNKjzz4Q3GHyCh0sb6DYv3eRxRBu0urx76/lt1zM
/7w1sHzifiHeA8fLb9ZPP5nxY3VCblWXxzCUgN8N42hHm1H58WmoE4jxhTAlQYPN8IXQpCIcriip
IcsCK8boBsatG8f2w8VYwV5qlXcFfMv30cp2TSMvXp3YG8xePVMoI7qWouuP8H2JcovSDyU1lW8o
3wMOAvet0a3B3V59fOAHNdELzurcvcdHQQ1hhGCRkQ8tUZHAh3a0zBF242Xd0lNziCscxIUdMv7y
3Tqa2W6EOktXc+hJabCtYlajMyd+lKWpTSd4UzHsfP/7z/LfBO7cthzopINzjohetI9/fsyUVzSZ
bCYJ61sU18rMyl2VDuYdzqO9J6xfbKsjGZrJuFjnEFMdujoffrk6r78zsGkvOhrIv7Yp4Y/gPXPE
WRqMQFl61toIhSIitGoOGP8iGPqqmL6CbrCeaFZWZ1LAmd2ILLoDVhPhjVP06abIHO98ghJ3beea
/3DjsLL+vlhysdR+YlFsSh6F3y7WN9mPl4cA83p/HxX2khttG85RIfh8IOmVMESL0X9o5WzqMNHP
QkmObUyQ1MGaHf9FNnL6WQ+R+ePvv4e/WF/9ZckjygiNJ7L/P7+zPJoKmBSDRDZhyzVq+l9xPwEX
y8aNN/b/YKD4i48Bs4ZtE2eyhH8Fi9r0DwYK8iLcwZ9aPN1T472b1VQtT3F6/ftL+osF8U+v8ttT
mvukfzaihiojkuSnSX7f3dSVBqiGtpx2f/9ai+Xjz7ugT7YGezQ76sJJ+u3j45ZMlbK13OIstc/C
KOYvBJvunVMLehVjw7JbVkOAI8E0y4egDOvN37+Bv/hIAwcRoYcpBUfcv8A7f/xIjUEqmHRym7ce
IFowSPTcZ+8fdmH7dx2w9C0ODlKSSWKTyOz9RoGyWXL9KU/dLc7XR0WbGFX6tE+RBoxkXwfJdSRI
AP/d1+IHI4rPuM5WDm10rnxsqMO0CbquWbexU93cRg17j1gN6iyK8kWqADNlqzB3gO2Ij4qkECaV
wVxvikH/XKATf/+R/X5/AEOCp8xeSSDKcq7CnvTHuxAKQaY7Gi5bzbaDGITBm4t2YzO7lfEP386/
fWwBaEk2PsvlAGNJ/7fbI57pNWO3JrQkd6NTOGXGgcyB/hzVZb4TTdgd+KiDf3hRjoK/P9XQbVhv
OC6xsnqS49mfL3GwWwn8BOERWHOo71m1FZFfE8UwDu8Q+8BYkUL3SMjnsY6GD8gd6c5jUPqNCBDm
fWZ85uyDP8/3mEG6D42immJxW2yXKNkgC+BsTD5Cu/moeoRd+EtWvk+pj7fbXum8rVbIuY4y651V
7TXmwxI4sV4yUUi8p31mSMKjE3Myd2hq5MWvwpE0YvNO4W7eEcUdgyhcJkiquHX0nCleI8UD9Ihh
cM2if8wcH7lO1V1n95uj5q/SnJtrSSjChloxem8qo7saOrV3BKcywZ5Ta1Vov6Bt5WGYStzS5Pd5
+jHNhrUZu6QkRGZs+i87Z87kxA4VetEK52NMbMZ3ZvGsFB1Rf99xnQkpBD8Y29VbVCkMbYwIwLCU
ycwsR9Y7kA/ZtkwCdRhzSdbDVBf3ADWyB2t0QwiCqW4BqTEmt+im/GxE5hP57BG0bEVkiicZgIfA
6kMEHCQ/AdgQ2WfWlAQiY+wqmWesEUg9EVhbbWhTM6Qqu86BPqPj6YwW17mFcU9+QDJtR2FuA1JO
qric93YuDqGLUzZbTaOzaSc7+DUN4i4bumdcWD9TTpevCeGhOzR3xTbw+zdSSU5NMTY7sjJ7utba
etVpKm59VkuaEqoq+Ldy2uXBHCAS17cimF/HqPMvoHwJF1QouGO0GzmTAdo4qOr7az3OI6G+uXxo
e7/4Ipq1uXY1cJZVGEe//L4N9tEcNgespeqG5ch6L4nhfRsSsSfdlgFMgjntoaoKdaP5Q9NljMi+
Xhe2pp+d9tNLHs00w8Ope1F05NbaqKdnIw7VnhS67N5QmqyREX9wxkHrvmOesU5N24Q1WXi8sqvu
w9nottkwwgNzfOubEVr1kdwSeW/XikQPvr3DnBbtLe7y73XvTd/T5QoHUxr7OuwfmHzu5+rZtCz0
LMV01eF0CQ2v2RNtMBwrqB4/QhrgzxXYPGTwhHvLDhmLr3HqGV7OiK3VLdnqDE6rMZI3Tw8xFASw
o6aarHVF2+yXbzbjzuid6URGe3FFsfoz1vKDbGjmiY1VMY6l4Tq+IamsDsCJjNU00WaPxShQVcXz
EX8eAUZ19MZo8U0FA6a0Vlr19xyswmvkZ8SOBrrYB2Kqtios7TWVT4P7oJabOqhdKFdEI9eGHzEv
5E3h0GQCXZfGBf0MPSgr5C9n5SMr7HjQhR6OCIXRGLqkrOPYRHPc/xQyOpMoAfUJ6U4JFFWMkPpj
/gIT9ad+DPxtD2VllwnfvyJnpANbGf6T6KbvjS+rxxwSyVV2rAo8g0RLiaQ/5oV8mJUpbl1c8J3Y
HZFMdGS6k2PBHg2sNt7FwTAwuRLr0a7UnZcu0G6xhChO2Pwk5JCXFr43f6bms2lqLrDSoHGYNdAW
ahjBubpYSStOvzUdfb4+ksM95sf8JqdquBDeWWwJq283cQ6T3Ek+dIwgPHLJqiGNQbOuEgvdB/1m
xJt6j/ZekBE12j/EkHa0+HW60UFsbhLkyw+2UeBbDynt3J0onFcRaskaGCGXiplLWF52xXiBPSCc
zhZGjk40R3KjnjGcl1yxym6oEi04oon9Zc5j/qj6lJO+P8xYzBqbviJsfgLGa/da2y7NVhXPBz2K
JzBNa6Sg9gpiT0/nstuXs+q2QW1jUNDnmLY3cuvvZeIsU5beYYjh2vvaMJ8qHJXkKvaXUvbh3dCR
Kb+SCNnfWzgvG6WHErwq5Vm/isPC26GIaKmu5/rcWsRs24XYgqmJ7ru58detDfArHsRsr71qzFaG
rpk5JgFqSEmyJzJ9J1kj7KM/JyoC6tPsXAmjfzCsRO+WHJA7qGXqJF2EEo6rbyjnkYEx+PyWOHWF
QsLM9lboJa9hSbZ9OzrJXRLW4p13jYO1yyQg/yQHaeKTee2qGCGpkZ60bzL6d9k5a5tcjLhQwaEn
wGatSF26m5ilbZqoKo5KyISlX9KerjPwUoPCyKJZvNOkvtXWryymj8BAYGqe/ZYMhsaK1YM95NMj
rgH/rOp8Onuzl55NhxAlJ2/Dt3IOpvcuxx8a2Ln1OEZa40d12AtjO907NY18n0R24hwavWMQ5r0r
hFfHJA6qU0rcONLL6cGElLIZM/SHdHbarcnV3g0E75yZlcu7UHRyy7jDfLaZ4t3ypBX0lQf/DoIC
dv8gjS594fOrJuhxc6RfqtDpMwkzJuO8yDxwi26Bo3z3CxnvSiSiOE/Rv6foJmLCzHLFuZ+xK3AW
NICEgp9Ud5Vmsi0at7wOeULCFG7Rdm0pF0wkzfGLIFbmkXB4+SUTXbx7dinXhuG8Ap+WmyomRKrU
bb+XQ18jpZhbxo8OVkrDcQvGUhpnj0Bb5HiG2CQmyUIeTpYn5KgOKKY5D/qdp2R81MJTiG0cZ5Vb
iGRmp+DGD1tySjZj6TrHNOrnI/irN99pvQefn0f1aRg3tID5ZU70l9vY1tYkCIETcF6TD1R39wZM
Za/BbOLXpyiboweZBe5mnHriUlHYHCGNmc+kU8m1FggtaEddmkhtCcxbc1ALd3VYDIoGwRRvkWAF
18EKumvbNtELJSZyCOaQ1i5AUxOvSAuq7wF3hK9e7VmPgN3Mi90O6iSiaLyMBJJ/NTIxC+ajcfw8
lLwZw3TkTzGawQ8/iUtIW/jI7Jifs0hz2tRorCyYbsrcIdQTuLZGMX2zg8a7K/pmMrB0VeW2Drzy
UZVeeYx1Ch9+GF3g28JQRBv4/b6plECXaCXWixFyJknjLPARbLJf97R/MG2T+bx3BuWwVXY6fIbT
1PHlI45YNXg99pMWMuecqV210jGmXpr7+WslgxF91pxH+GBz0tkVM1aSWsGcueDJ0uAe6U2/szNj
2GDdW9LcQ0N+RJotyFNh/oF4wcPxZRjTKiNiajUMRXAJcq148zBMCs4zqdj2ytA4ubUxX0fcWxyZ
6kZd1RQ3l7RHc+vO3x0vfetwTOziGFgZZB9MYt2MtNbmgZ4LvZ7iDK2AmMn9grTNwJntxrQ9j9Nt
PeulRTRuSthRG5X73R1xX9YuDrt454k0PCECJb2uLsLx2MfDLiwEFA5GFeyuJFZhf4IyO5Xp2RgT
9VqO87kLvwDtPPqD/Vz7/TcLuhJRhJ8ya95j2yEZOTKKm+7Jo2/MEoWRWXh3ee9n7SYnanxTmRZk
qAoSyn1hqnpDith8KHKjs2hF2ZyTiNe4BLJun4wmyzZW5YsGL4fd3Wdlgry6caVEpleirOYtdA86
lNEtD8ankPn9oXLK8mOERY6haDDFgdbS8BNSd/s0F57eT2NFQJJS3gHUUoRWg23vq+sgsUN7gZHi
uCEMJKH2PMk+Qoi6uvnIog+9aUUfZYWXorY6hLhVRDphFJxEmambm9FwYVyV6A0jE3X0sGi9Mnth
0/H9njy7JGIe7FYzNauJN4gUSjf5xc+U27wmT22jJwPpF8eY2EGzzqQ7G/x0y/m/uTI0SuKtQ6t1
W9sB9monNtDmuZW3Y7To7cnJallynUqsyTo2dmUT+E/GSCDRyqNp+AJcpvqgYDfPtCgqjBR2wMPd
BXugBgx9w/lGThMaHrLaWpqOu1G05jeeYfQtgpykrPPnB6M3kbiCDecYTJDLUZS+cTFjgGsrc6yz
Sx7r8Fpz+MApAFG8svIKuq4Pog80x7mIfCZy5skuGrxhXZSg3NDxk0M80tMsBRmQCmZlUrCcNmSy
3zAum5+xzIPHLrPti+0hieSfjH4sS+FnEVXxUzcUWvKHmXWuUwbeKjWCF29u22cvIx1k07XJDxaW
/D7uh/FlMKckRdmSVTsLDfAnQV6aa4izQxz5811Orsq9NUf61tdjdapSJY6kOrf3CbhCXPV29AZW
NrwiKYHGmdN7GTA+nQsObG9w1vAV1EgU95x5lELMBhbHL8bgoHsPPwZdhuRKZ7B/xZUwfY3GVJyq
oG8CeHxDc0MT4dFOmevpUHJeO7t56/4cLG3r1ZyWyU1wq960n4J7XxmDbR+lR30c4/yzDlm9ZJCV
yZDvIOmXh7gc0remKeoPnTomilqTwcGq0rMJXCca0pfOkkRL+ZO1dQqjbgjOLihs/KgwyfLs43uD
EezWkpU69CF2JkNYTHhRdD2wTaa7Wsw5kNlCRyiI/OkVY2/5QohbvvaRC0OTnjHy6bK9z7xF+IZE
ZOX3WXdQXIKxUr4qf/Fbx10PcEHwd00+cJDA0Mw6xsiXj0aMVdCrU04hmDjR+CEqeLFai4apaXK+
439rZo3huO1nkHRWX9SU9xx47vHV9d9kHKYfpWQeug0t2fbrqkTX9gjXpN3ncPzMjTFPnT5X5Pmt
6mh65EJpoat6NCiqCrFnU5/2IyFrh0wYpngtwrD51dspAa82ncPyZDsMl9cUBnI4g0R18XKGljdt
8omh6YaTtGFcTem2/hnWGpEFo5TvXTEWBzUjYMtnERwSI9HTqugrtK2c8FOiTWepkEVVxXBt9aBZ
Cua5G1dhlgTxrihHtUFvuLBWZ19tp6ae7Dvae8QLuIlkUOVXKejdAWDiqGV1yUTQvKDJSNcM+N0V
ierUaYY//ppVQNIXtfdwmo2q+C4t1e8albNFTuywCF6GXtxB6p7fbMRcvzBVoW+apfHFpeuPLkSW
ipZUtSe2QpYBvhun3E4dnJZ7+J/TfVO5AGr9bs53vezNO7phEet5X+TDphc5/tOwUteEPLX7Cl3K
J6Ul5aI3aP97mtYZ3XUW7jdt+QGAcjGc0zYGqDgMiCURu7oKu0uAhhcY7jsjJZ6rPk8o9JLqqYTh
cRfWMsp2hi++5zYNqIHgCqd1GJ7Qz9yn/XzKMmLTCDBDd13ORoSr0UO0TqTPTpggthVisysEFbhx
ad3V3qrr8UBN5EEQz67tLXnrdbst7Kp+A6jVH1K2r9coi8KWFT52CR4erOZUz2n2reK4tB2Gqj3w
qEYo2jrrASa7QQxjho8JvpYRGut2RLC3HscpbDbSi9klx36+pJZFYUA1/N2W2j/SXY3Odj/+bKz+
Z90YLyYlAGjlxEL45Y0bvxLODqOysa5k2b3WKopOaCMJe3Wi5GfvYWNdzVUy3dPZYmcoOFivfMP2
OnhZFm3QOsEiNSrjZwNajBhJT/xCuTQ0P5aXQKFCMgtpUbETy62LIQjHcJ9Q2ruMM5Gl4pFeKasH
dB9yceQmUoLPr7Ku+wXvDm0RB1wGP3Jsr2PoPfRxK8FIY+PkssJN0o4NHR0Epee+1TPAT4fsDT19
mPwrEHYNZDkUJtkeqdOIuDvyx009zZ9+Rx8u2uOog/3vD1es3+Id6TJXzja8kIHbIzMufEllIV7Z
ndYOaScQGkPEJIY1DmvOMgudNvM32povOOP0GfAESJtWq68pH2m3FZ2xDxW1rjECcRF6aMM1iBxv
Xfkdz4FhySOmMapmxWaFZ2pkS24zewS2MhsY85p8A/SxImm2s9U9QJ1yZzq1h3fEjswVK531hF7C
/UErIw02A1mH5hrT7XFGeliEdfxg2fQFA6PJqQE7cQmx1rUp9+HkTgsw2q+mA994O6xn22Ho6g/c
sTHpw33wjiXJe41n1z1lU63WmT9btGaLcSPZe08Y+MTF7zt343Ncee8t3BIF8ZBrDgdqa4/9sE56
LMwOkMvLOOClo5dgTGQ3x0zrSuqrG7p/7rqePDksgMmPqEa2o/KwRirCGA01a/lSuDJ7jtC4PhqE
sL4yr4f76yVhgT6100ivIoTQuZuignfKdiGzJRjfVW4/tVMJtXVKwjUlkDpaMxI85KmLuWaxbeus
L9foqFqIq2MB34Kz5J5tOsXwB3tobWDgQ/G4qOfdauo/WUY1mTuGTINdUA0c7aFCtEem0P68+F5V
sWsSr3tsLd885BzvK1ZTXxNDM9pohgM5GLckn9J7DccfEW/R7uOqxoFLxOkdmZL6MJA+vvP1nGJ5
aKiBGlylJPEpIidJjyuEeCH9b1XW9mdSud8CcHXogzFGrDjx6a0LUQFGOYDQdiLdEjXZgdg98xG3
l1jrUvinYhryS9JkzyXi0pWV9/EvbdnWk1cjdMYrFR7xz81bksueQnvA3h+6w+NQDCY+cZndj+yk
hEiVC6qve8SeET25c0G8eQuGyC7oMtPQFZehdLq9xGyIk7YqVwxDPjq/xjgb5cZ+ROkDKsTbdxBJ
Nmnc/mqpVr4I51wLZYzrbuqADEugWT2Trwy58dG0K1xoeG/2XgxGIw89EK4G3YHtLOb4ue26HSCE
rdAl3zGzrq05NT+cppjP0TCIq9+1tSQIzsFvZrCSlvSf9qCyul2VmYZGXGj7W1teNZm9aFUzRUyl
BOGBH0PFmIhSAuNMnZ/9GrWIMrZBWt73idF9FIH86nwj2nfGaB2nEgEU7FP3hlJqXTX4SOf2YEAb
XlVt5JxrHV/p/VbMDop9Fae3ypAYQ9Q8sDRRDtsDsGEyMqczDbCXDLdHRAztmsHD2k4Smn19p44C
RXyE4pdaYsy/RBsm60zUn/Mc3UGxRHgZJRUQEMuOCvDKhO9Jz5A7JSmBZpkcMRU2alUFulB4M5lk
cfTwzhLQF+F+FMg4zYgmFrLc+hZU+XApJ6QVjJ8lcOlz0WfORlQuRXs3kpA0Nmgfo6yHTC6/V0Xp
PEHFKLttFNuo7AbDhmo9pe0hnybl0Gup4pM0EsAlgC3kR90TsfINL1TG41krl7o3sJ4F2BlqrZ5u
Wzb124znVq2ppbez70/BjgEFrYw6AUtvOOGTVlgIki6oCET37WMgcT4ijj9paScMMPthmA69N5N0
64Xsil7KLVUnAOGfjQTpNWhqEQffoiRkIbYk7CpTx0Z4dhPqE7SNroXvO0izWxCBMjoyzgYPNnXM
RxjQQgWW/byes3FcDxpGxuS2BFhH7IcuevNlPQ1ckhDq5DEd+uypIx82ArlL0K5IZ3qaQ1iCAXET
1/tQZd4tdB75leHQW9VO0BWrIeDc3FDXre1qzHfzDCHQ15MFXAOU/zo3+aopBnuqxVChLvGN+p1G
cY1Cd0C7P7beCbMAPXxME47TSlar/B4lJSQhpa8CzE5TqG+xiWCYOdcVIAg84/IqCL7BnGA8OdYC
LXKiMiIxwGou3HExPKJUUxEj7W4iSA+T9VXLEdvAZKtDjkON6dKkV0Ua7Ilr/uyj/lHq8R2U2fj/
2Duz3ciRLNv+0GXCjKTRyFefB7lrnuKFUEgKzvPMr+/FrKxGVuJW3S6gX/qigUQhgayQFC53o519
9l4bOhj2500MQuY4whoK3KDd23ldXGm68NZOzRs9ixAbA2UuJhvZPfDsptHMTVDJ4rTMtowBTKqt
YY/008599j1TH72uofKuufZAvQkh9Gmfmcmm1CDHx+KvS68ZHgEKtM8BxkPynhYidaqqa4yBgeri
S2MZ/laOWm6kGyJSNIXvvzEvZMQ/pa42OrFm+oat9kckY4pKa3jB5xlDNLEXlYAkx52411XLQzcj
PsSqYu2iF0xx4B0mIbuNYNQxOX+y4irSXD1WgwfyZ0A/jYTBckTF701gyP3Uc+KirY6XqFA1scFx
fps0UxvNY+DTtAK7Ht06dfY2DNK6D2asz7umtaYfpYjoUuV2fCFU4bxN1UxFZ8VajyvRrNZFPHni
MqYG/BKteRnwgxnxnk4OAPRIQ5/MpkwhhLevEcwIhApeP15JI9Ry6yuZPjPCES4i755M5pp6C3G2
PYN9QdMnz1lbHequHCBqDC9tA5a1KYJnFsj7Urr6kLJL2nYz1CQxTQQIVK3QuGPj1gpYKXKuRM9k
hqmNc0smk5432ip1RP0rn6NrWelkZUNH12a9wTRfbJ1k4JGNkL+e3QgFPiy3oQmFqsFp061sswx2
3pQt+HHcMM7GVtFPs8M/j6mxHA4Z8+ebyD20Vceujio2q688QY/djCZvkCGqKUfLKEF+TBXV1utK
tgnQJVJN9HTrGx262bM5Ok297xDrvLWwaX/IBw3gL3eCexz911bDhmwoMTuxOWHlYGbpYaw9On1q
0ZGIsLNhfphhaRwwng3NxoRcc3ATAXAqx8fKbSWO32JOxc9ZErzKMdc8OqXfoxOPZXRWs80RpnR/
1yaszXqg9lvODeOcRmbJyFQV9rE2e/rNCUklV4BT4gSEP4CO35SAlsJwpGphTomLchUz7Q2pDTYW
htm9JM0MlMid3W3k9PV+oEaDa515dHTJY3AI1R50ztysGErNCxNcsQprtor9pqrm+7z8auLI+C6S
0VjXujNukuXGO8xm9IBfr7iCBqflG+DlXTzPzoGPknXnIQe92KTstq5nqI3bzznznmpX5kx+RiXF
uKaUlnMrN5MbfE7AfjQlIb5fDWdO3HHdc5cjPiUHWEkJe/8CSs4qqXz5miI3ECjWNLQn4PspZXKA
HXnRJZGF+sQ/rH1wUwUPjySGmtPZyliFgwHfPuyGDRqStVnYNKRhjfatjkL1KHl/3oel5K0UWHRM
2nPxoLBqwW0wnTVPngZiY6sQqKhxFMCXUFOSKdq4iSJcQTnenmB4+1r5nHWFACy/H3KcbatJ4Jxe
ZUYXwtfICUiUgYabo4vwk24h8131bnQ7mU0FTYbKdBOj4qqIsd67IDPWpggcXqmU1EZuTefQcHnk
BEXPb2coKvfDGIz33KVrotfWRXnWHW8o1HrUpDUt4fFdaMis23RxvUwOdpiNVxKTZbovmXq7fcHh
Ga7DuukPvK0rro8WkumQueGRjpXgWZO+nJYHUS82hYe3fW3wymIZmL2bvJf+Qems/jQDEFNo7r62
2ltKC6ZjLkaIJ4nR1zDR6M5ZhW3k3weIRY+8u6LXJC/l22Ba6cbRTbANDBXs/MKfb528IAKpO+ZL
f+pZO6dSvOG6bJ+T2USYcrMKOXyWdHPUNKNjGwu+vWB2N6Uvki0JremxAvp3k9MCvONpkW4dXTen
fBRUws2iN1m/yN+n5G49Wnl1NmKmLzNI05OiUuFotF5L2i1iYzKn9E0SaJ2vCC2Q38LE+EhoxH6x
Gi7a0PWzQ2OEDTos/A/KhaKdbJ1tao7dlwFL9gi3ypcrbQ6g6EIZ3RCxHu94R6Zcqe36vXD6+NPy
UrR0Kg0etTb7YTUx75SbifUxDgZ6Dagkg5EPdRaV5GmCpdWR+yD9shZ92zzKMWuudlJU6ircvD+1
UATxLhlDt1XMWocqCtmgz4m4m6zQZZJ0MnnwZJhuS6fFoyJLVD3YNE9+b5nXsCy4iEiNaJOaA59n
Pnpl0LDEdOf0OawzLCQGFqq5KS5GYTzr3KBKvE6fstKoHorO9ukhH6PlVgsa1I6iF2HU/e0E3+TJ
GpP+wQDbBRznfkBq3Zl23L0lhUOvgLTGNwM+3Zb+9e5sFZG7hq/bUU1SvjkQES6TsdwPhiy5Wolt
nvO0Efs0gLcVwCVb+6pPvvqeuo9qMMW6zvqIUUVwOmCwOjAbRkShSrMFp6htdUx1U+372p3fs6Ci
i6OdZvMzswzuY82C0Uq5J59JmAQbsEPosjZlUI2jZ0KCnQmSY7FG5J3L0QQQIisddB+n3deW7k7l
4JOXdKR8Ux5YLgTN3od2HGXyHrE1OpPKtkiCtzFfVY90MYjkGNAWflfqqtlmYKs3sApgo0kkjTj/
Rapk54w8M1KfLhGu0YRcJ8uuVn5MJh78bX6oHFRjxw3e3TD8wqX07aK2AmWmQdSXO1hIdMM2DqC3
qvhOAPwR6TL2eVSnqwz8XZlMdG1nPVHQ4GbQxctIx547zpp2cBZDtEAI9sbhlo/supP2po+0PKZ9
+UhnyQHH0FoDAThMJPLWaohwILAVAjU1sshy6fsss0asAtM4zKI6pZZ96OLpxq5QvyfpsBHiSx4a
d4x3dhvgRy5nunLZ7sc/dDnVdIAF8YUgUvJosv96UjkTYzGDD3ayQu7/z7wAjWpW91sN/+HDCEP7
wggsdjPciH1O4ub5d3Pef3di5H8QJxbnn8Bi+M+TIHddHn/8/HMQ5I8/8kcMxPltMZjykLJgczm2
wOz3txiIpsiOcmyPrBGSKbXamEP/Dog1f1Ncq/XiC11CIBgP/86H9X5TtinF0qqtF8/vv9fI4P4V
VC64MDNJmB4eMf5ZkLh/dlMGAfNdlJv5vuv65lDLpKPxj51t4FpkonCIcccQCPKGXZzzHse+gi19
rEc3JvqZS8g+Cq0pn9QXoIycj742dloKe2MO8Xg2kpwWKhsts1bKP9nZEhof5w+ns++Aq22sDq+o
M2Zng2KUzYDnHAwhRrvai64W0jylUNELMvaXD9vO6lV2SpqyIgaYyhlLYTLu2PzqNdnziNWeJqam
IvBKFYV1J2u28wsf3vk2lzr7RNdB4Sc78hNTDfnB1B5uYU4bHLJGgPzh2MGLKXq1ZvNRru2pi/BL
+ckPhMt0wx6q2rPFRU9IorT86gUBPrsqglc7a4ajkS+BCEdyC8yz+xLD5gem2PYUAy84DrWLE95w
XeQOhdTbNAXuTK513V2YjuMBIlt+LsCyAm9taMujIBwCG3ib54l7UFCP42OEynNtQhu2iA8hzsj0
nWnn/XNLx/Z3lUb1W+QM9n0m8JzziffuIrfCJlX/Dpfzo0coacgC5kS7Xl/dhSqSj1ZSqWPHa31u
Mz+66UM3fxn8UWAHFdZqJOG+4a2xrqsq/uDRHl3D0IVtUkVSeqti0P0jPsvsijb07SOXrucogVPX
OdWbE0HwMeyp/HRm/xc+IXfeaG8kXVQeklCdOnB1Wwhd8p79tSDUjr0yJnD8RsqvvJGIJGcrqy0E
xTn9skmErpqkXhbmcUh2PbeMK5Ymt6GZzlOfpeqqfcm+DfEYVnoS1sMpE6AGB1hjB9CS1IpDOzvK
3DAv1aS//foszTcr5jsLqASPjZEVp1Q1zWamp4fi8LgrgfJOBAsyxPYZ6HDGM9QpkqsXzs3eY+X1
bM6pvEWsqNeBXVSvspmnazp5/iYQ7GkmE9I7sXHU24Xl0wHXhNLrmN7SQwfvHr4bJsnQ58Kd82BK
DedXN9jute10u63MCqZZWxESLczx2GJnv+LEfw5sNuF0K+KijLS7a6ZaP3ncHXeQXtMPuCLVyiF2
Ga2VQ6WcnwRyG9cQ0SuE4t2cG8Z6nDr0wklUG6crxNae2XsE0VRdMmTdg1nxPEpjkR2zmT6rsd5n
LEpX2p2hItGTu1GxS0DYWYHpKPdzsCz3K9hO/nrq0WYGcjsqnPbSTpHmFLjyshPJfTk60a40GBUT
yFXgJnhWSwjwph/lZ9cU7nsCVAb4h8j7e8xfw4OTl+8YgH7ic9mqublpcv0Jshf0kJ+4h9Ko7UU5
9Dl8lq+Y1S7IGzmkMHkfhsZ+cGXEMjDFxQdVZcJmDPvBGsCz+BGejjHKvixVXOuIeiwGOELQHY3v
hVN2ryFSNhn1ZN7XiSNudRG3ODZzeRZx0J4Kii+3dC7pb3rp/J1TONal7hBRQgbYrR9p7xHrPa/q
aJscHt7I9IttplAFGVbq5VASp4FF2FyOr0FGax6jT7il8xMqoNDFadRksXXSN/seneKYFApxRza0
HzSIZHt/KdZ1g1ntAo1zw7cCRiZ/WnzX/LanRIVrBQxvJQ1Ws4lXQbnzCWaV8Kn2ZkdTxdIH87OM
JRipKSmmm7aGQJaJdjwJ9O7XKSea3GMBvGm9oT+JasxPeTqQ4MJC8JMgUnseQu6NrBIF1lBYejjS
GB7ToXIi/JiD9czeUBPIndJym+RjhwfLDl0CsBx825BWvB3OmwUo5ARf5PKecfdU23KK9kaKt48X
4pDahd7wwFBvfU7OqhkAVfA3hx4HXCtf1zQNBwtMMX6rg2zeZgRF1pgQ211RxO7Gr1MUwNgkSmHV
ISYkr+Pz306KggsZ7dtcibuGuupE0GodUmNnEIVfxZ6+AQmEOdEKAzRk0KAzwyzVRY/53I9nRRmQ
Dc7Cbh8BMRP37oYv0NXJYSgWw7dP9TWOgtjCYkRueeRaxTAXNTDFWqg4e4sRbW8pTnAl45mCVqva
dtncM41hQu71Myj2Fv2CL7CWSTm9lTHHxoom2VgderhGWJFsfy0AjIHjqvetaGYGNB+iGUuPB+FQ
S8RXX6duf/D74L1NOPXT6Ikk39UE4Et9wcCEG9Aq1xpiBSgbXPnYhDcYPuPTWCT2UcdOBW/dsl9V
5lnvjRUPm4j4OfCpiB2BXz6yrqixc7FHWcu+hzWZhXn5xv2XRawztbc6m8pzYej2m+ISY8U7d3kM
ThG/1CzfNcrxUPYb76FxIoz8Y7d1RPfWQdLxYxCZQzyTegsuRR2aPGYBl/uolLgY6NgQGz/mUB2l
OBk0QqwGq7mxxolAmUmLXYhxyI6tfYFdt0b2h/wS41kzkgyDE0vmenFBjHBhTNulHzSNv2UzeWrn
5Gg8q7Qx60eLDm1Qsd96tIZfYFr8KwxE8pa+Ms+qrd183w9RS19nMbQfM4+h73gWjNHALe9kEkJE
n5wRtBJe5Pkpy932iVYIy9h4U5KhEGKKvJ96QeF4qeoLmia6X4sRewXBRbxw9GAZxnyxb6q8WQ3m
RFuUSRHljPlj0y27uUmGziPIvfGYudOc7Z1gYhVHUv0JpZuHdOXeuoZCycxc44UdBgZSCgs5Tcvv
tBzHpzLTcHQb7eyIGfD0tqzMu3dtRhiksyLvM9rxwisg4p0DUHDVWt2bbOvnmgXaCheWdY+7pdjl
HrkrHnveJfezMNpO8LLeYsUiteBaEajkMw6pQi9w5zfRuY30YWiHjn2eDR8JPybU3cQqKLWCNZU2
MVRdwMNSVIdCdXeTIR4SEX7yQHsZ6h6vow2IcgBSEATVLpA2mnhMUaeaZslzl1uYH25V7ugNrTPT
pWzsZcjL2MhMIEB9vKupovtuM4waQGhod1cUs3mly2qAJ9nEkGdJZj9x/Lo309x0CIA9xepc4cHC
S26ddngVRRJhzWuMTdQP1qGaG8E87k6P9KLMy5pW3UnyKCqLv+yACyylMN254xe9rtLu4gAEOhkh
lLVGYYFUgCvw/1veyTejdkOacjzgdRbrojY+4skpD1OVpjcE63hELyseikPqFfPoSG4zVDfN4Ms7
rt/VydW9eSiLIThVPhtmqMfvHfnbl97n/DP7CNk/mYxhpdvWfSCFWN56vpR7bJIfbprz83p1SS6X
hTGWnGNlwA2k9OutcuoPyHhqE5mtvcKagT0A7pgvpPGqosx9y7PB2EashJ5zm1CXg5GLX0fUrVNe
um+wP9mWG6VzP0xTsB7jXKiVl6EnOVWSHtqqwljZOwdraB1e1Cy48QOjxMLMQyqAi2+1efdKy2R1
oyIXxScqFhxJhaujpoly8ZGy+RuSBu9kVS9EZh+vVOaD7cZ/4eBNg9Vqq33Zd/5zPoXVvQhMbAjY
5x6surTgRyFBcAcbHgozzenrRoO3soEGIqWmB4z6YtVHbfpFsY3eV6SLfnll6e9HrK3smbhBlzq2
b0xpk+qgKDv7iMwovGHnhSQrSV2eC6xwj0GwINQNp4peGkHZq0pBwBMTxQUH8msfWJm4Ymzic90H
uD3Cpjn6+OqRv/PgBwAgCWVfm7BPh+zLrjrvarilepmkhNXXEox1rK5595oqeEiqOH2kf9g8DS57
sFUsSfER/nLWJZPAlk8MynuzPFzz8L6JoVvWKuTC1jQvXejbB6MZh6uG+7Z2hiqnOqBtzlQZ6+3s
+99Dju7Eejd0sIBPXN1Gy98ls+O+y7GG0I//42GYnWY7tpISgwawLokmCr9bpX4wslbbmYrY77L1
zY3HAHhEaCluqdSNrr0Mo4OyWy7k7PhPheUJnhq2t4PR4UqWu3eYfvNtF3AzdyNPnoBpK7Q2L76a
c32bidBE/FfNqtdtdnLnhDVjaXrHVkvrRg118ou/aLX1WY2eEx1CsCLI5mNKmX6RDflsM6RoV9TB
uhzcYCPrEY+0J6Ha9AiJWZr7Z1JM1x53bFVJ72IuVE56TSgoTVT0GhnxRHlg+g6ie6aKIYYSv9RB
qRmQl8imdWE2w3kZ8tl+59/VQDjfzXCPtLSu4j7xNiVc6hfAb4YFflAGm5DP3CbtHZSpikgIEBp5
Y3MFW1fQRZ7xQWGdLUT/EuB/I0AhHmOkzR36oTv4e5lUycnPqN4anI0OBg6XiSu5EDsjkNN1Ahiy
W2L4K2sab8HK/eTtOcLCJ7jSFSjGaqqbTdVWwN09x97XsyTRkIi8XCuLN2qKItfWsXNLTp5iVXEN
OD+36RK24m4Q7YrKoGijNKCn2HiUgHGlm8QmHdGX2NJE2FQH7Jg4KFScsaZt4pPsS/qnCSDcdjMk
q2bWFW2uRBK0RQ6A22hwisZOQrczOdppLzZNXMo+AP3ZM19Nk8uT7a5tYn+rPi3SYF2UBpR1uuZD
IJaui7sk6IebjKMQv4Yx9o+NivN3Ao18eKxQ+p+1j0mNpJrG+YRZFneQ6OP7rJbGw2iDJM2Otd1j
+2lD0XLNVP2VjFx+jdtY/uAJWF9LI2XMDakNy2OQLas5kmNAMg4eszX7L6bsbKyqzC2rNpqYT3Ea
ovHXidw70Mv3ugych5p+t9PUOt2RzJF6sEbb3ne9WX9C6veo9YKX/w5yp/0cM8peCG7yYaR1+sBL
4539ShZAC3v3gEFqWsH/B3BdNO2GL2C/MUsPL30XZY+YHm0co2YBRysv5hV7xFuL3+k9oDt+mNkl
J2YO32Uag9uJ5ugUil7eTpJ/60bfW9uW1QOlV8DFm9yQELUcuc3sJX3oh5CpJuPGiHGuJakd7DQX
C4B1FZowzWnxiuZaNJ455mMrSk8/atL6W1rS8RFB/LwI9slmPbtrEShOrJ6yWcK7ycmrIXx6bfE0
OslHXQ6XeYoM5OzoCxBRfNRVfcl6+jzENFYEqcbXhuHH5TMMa2C6dN70o6hy4xTFmKn+V9Gky/Vf
K5pf3Wf4XdfTP6qav/+xP2qvTJolkQuFLcgnW/bC0vhD1VQIlPBClKIYxPzbf/lD1ZTOb5ouLPx7
aJowC2xgIn/ImlL8tnTSsnuz/laIJf+d2qu/xvodxwJ75giN8MoS0f1LRFyh64mu7EhpuOrdHxGm
YHWuMM/pdUrpJMvRxbnD7Ffm1uefXqn/AvDmr996Cfz/KdAPsR7rimiqrWcn6CvhUmQbz4cy8X8O
WHFX//q7mcvf5M8AAzQFnm+uaynh2FAM/iLfxvREOTxP4ZbHiX0KKr9ds6si+uSayQ6X05sIYsaj
euL4TglZeLpn51gKSJRO99YDQl7Zc/ASZxTdtvqi4hE3dorzUvivKCjAw2DUrqIiPvOEaLb/+qeX
/5cfn30NIjhZfgVX4ndiy59frTpjOOkre6vo0D1oagPZJLcG918SslujxbYxlNya5sQaWZTH0aPt
q1uI+3RomIsG2FVvXE8CAi7i3bDJDVoIHkXyM9A9LfFZdGyrltbegf8vzrwY1Og8r4LBhcwYYvFw
p+oYVKZ4MnLMpHRW1YfCSDfgBFZ6vqdugeBTBDQhfLBVfAim4Se3AZJHIfi3bDP6fUvRZHKvw+Sh
TKdHu/qaaruDNrr6MUbjvNeYSzeQPzXzrQcbkGTn0XM7Cq9CJ98j76QbBQGepJpFCFdaRL3N4MlJ
xH1ucJ9kyA8frKpPb0yAfB9ElzWEzZh2jLCtz/joMTFRZqGplPTqjS07duQ1EQAbXYarZRLswMmP
G2X43smmyOTGdZMZdSNu7gZ4OwfmPPoomsL9wfpCw0uNiluXhCZ86OWSnzvOj5GF2lYh/vwsFcJF
2bVYKeQZ3vxwHcQMV1a4iFh04uBCphbiBGx+XglnXtt9LndGrssvXGJfUVA4RwR+nKhmNeA8kffG
UohcTOHJT1KKR8JTZXvPQe+YK82vBrhMfZC0DKzL2I8OA492+jKb6iJdWKNd8YS4m9/86zekyQH0
Dx8nVwnb5iNs85bkovFXHghsbMkamzRHl6YMr5GaWfeCqwmXjoqg3ENrsJ6iyBxv5rAzfoTYglgd
uBVqV1QVN662ntEm1jPln+eBCNT3iO0ArV2k+0b5DUzURjyEcJ1fm6rrLnr0xa/f/wr/3Qu4/+/q
HCVgRTZr/3xNd/iop4/8489PtD/+zB97Ov2bor1GaK3kUg1pc3L/8USzf0MddYSAAAIG5PcN3t/3
dDy2PNg7wNT08hTUf1rU6d+AvwnON7Z13vJf/o2qZJwHf3ln4nDyLFAhfBcWOLCI/vG5kkgzNJMk
zEleGO4t9JBB7zL8+Lt8xioVYFV4V25J5x0xmQT1jKNbjSR1BcSiQ90zKMVk2x95KjFs9Dr2XorO
td7MIdfXeRb2c8T784I3wCKdAQa6iAzrCmZgPOb878HJFI1aroAAsvjB7K9knKkg4F3cXulUNp9w
lRIBjpa2Anyu5qV2nfSJrDOc66XVAJeJvGsqi6bzpfOgDSFeBextVri64peMQ+cEk8B/EUtfQhxn
u2hpUHANzD2ECbxttPQrxEvTAkYSGuET4J5WbMljkbo+LW6KW2FOgvBKeCzfRw2EDXtMUBeqLtlS
CYb5qCWC0o+0J3QkYjae727ckFA+qSNxY9uUP5BrMk7jUggBJ7K/2hjIdv1SFdG3or3gXqZzZSmS
qEy7OQZpI7e6qfqHNA/bI/ALNPaUgHnSqasP7OrqAHtEyuq8d4k3c4120J8Cbdpbw6yS23QpsVBL
bV9blwjgS8UFAQws+1Fc7oq0ABEcLs6LGdHar1t1qinyfvaT8leetyWslLaukN6zZHhHxg9e2j4Y
3iZabZ88tgXfUKewAtisb3oiIHDF1hNHfHREfIVqEBHeWozb1Lzbv1e+u7Mef8QTk8Mu8e3oLneB
ANCkMZ49A/I6N3J32tiEfaJNAZt+MxFyx8xsWIbLri8l3VB2c35DCiL7JZeiep/6TFJmhVSHGvv7
DRQEY+uPqnok25Vu7IrcOTGBXxOC0T0IUiQzoMCXZCktyZb6knEpMuH4714hp0cvhTCCTVMZDyZy
4DnuB/MX4Vm1oseTMTfuqq5YxcE03ptm/MWu8odamlQoPAM1OGr/DENFIaoyc67auADw4aN2JhhB
cYX3QKwewgKURzQ30wlFV98CB9hDHXkewxzG8LB0vPRL20u99L5MJg0wAY+sm3pphaHbZMsD2ufu
0BBgsWYLMWzpkUEHnXC+OOOJ7m/1Hlq1426TpXuG6Hj0EpRpcsyTYfhBRlN8DH5P3jkkK1w0NNgM
VtVsIo8YnKPuo1FWkNXpu/G6tP+Irap6YZkcwirurPdyaciZu96asL74Sw8GAYaLnVkR7QvW0qzT
UBC/si0bMlmI8WjWdXmrxqhhU1yWrz7RNEi/mejYA5r4/wROPTqn4Ln29A2u/cyWDySQJTsSTodb
01LjoR1DTNShyNjD9aYcXgAr6hMEhgm93ygu5BPYSbLHvo1mt7mUeSe3LfeWU9NrRCZXx2AWnLJ0
Lgk5xH7rp1Q+gnKV3y5rhe+OAfSC02qsNyRTZ7lWZp9u+zyH5JI3DRTdwRHDc1Rzj9tL8lMpggKV
q4jvIJmyib0Ge7JYnSvLq8Jl1aouZq67bZHif+n8RXQpdMtNuLRz110qmctta2mMUbM22Ma6kogT
MXnrnaGG3lOqdKYcaZJ08WqithXGeDpgWqwjZCJyakN4Qyfm0qQVonhjfO7uR6PPv0hgOCNRp8D8
YddqVKu8bML3kQi2DUQmIcmusUAyXVPRqN8JArH9oFjBfZaCas+kksNbJcw5P0XeaBFANIrpCAde
5fs2cy0cGF5k/AwKoCiAYEr91sF04KKfuhi7S4A+VjEth/bgU3VFZ2cK87nNxx0bmKnbs4MdxQpO
vvHuhCPVovgSuL1OshnHiwPESBy47pSsssmIsFQHurOFgAjqEdQUPQGNMcRsh3Lay9hgqOIR1yz2
ugHvN+Qav25+inpBJnf4kMMzMUqzfSxDYZw1S4Zdl5VtvdVdGKBjVtn0KIKE5l3bTLr3qA5A+GcR
/tDVwH6c1roGb3zSGUhmgtsUxaSpjKEZWIptUAqDZ4pTBxG/xbHXWNH4qzac/JWNe4M7r5nSNf6X
pSptrNKHKNH+azd4zSX17F9kxWsC2t6DPY6C+I4KbL0a04K9ici8U6e68ccE4Ah/NlL2D7sTQE4C
FMWjcALWoBF8sH0ge/3Aknp274KltgSfYsbtEFjRsKMYiL8A9VZsZ1MPmd1hMhjW2BPiZyI84xki
e/Ai7Ih5rEttOqykwMsxOPXwTYyqW1neAAfZiSCtheGgLgarYr1qgePUqzbr1BEDDZ/7mg/CW6lS
5wmRiW7nTAPiymTOG7AA3jbtEXn7vQ+t6rlruvCSZAopMmEbGG1zJ4/f8FTzM+vUzU6OTR51M894
A2kr8poTmMbqlf1rZh+XbisCKTobgA56Vtqsa9FYN0nOL86wUoKOhmj4AVUfpF8VTcchDVZs+nKj
5xPTwkl8xQ/XnTlD5YeQ7fQ6CNc9prk9EePQc8zZm1MgOvClcQzhlXmnwH2+b3oLvzcsCrIGShnv
FSG8szm54plWKR56VE7vsRZ4L8E8Gs8IUOm9bY0BAOeRCueQSexiIfUydvi8shy67W3s28QEPCJY
Lz1DJ/ymyCp+GElR4phBTOczWlqPKoKKseJUNH4CLZlA8aCqwSEBaUOvsu9yVfC6Nv2ISDKV9Br2
xLHjdgIdGkdFXe1jzJZv7P66xyIX+Tf6tJu9QnjDzV1Pg36IrThETBsmXsk+njuij0Vy54USN3rr
O2aztsEVnf02s0BR0B4/tCHZHnQNuo/BQrNeTn/yuxpj0qdu+TI0bEeLntndtuX8kNThEiNjC8d2
uVosrQnoyntDJwDozcoQL2VMbHQ9d7bGCzQ75KbwjcNyjWqvu9GBWdO+1zlA5n3K4kiIJnz3QZvQ
rM0k9N98Z0yPGbktjAEpryoghPKF9jXnnrpnj5BxxO89rvPmTqbZfJlHwYkqXLt5YDVTPgwurl1E
B2HunFq6fOKDKAN/M9EzhT2vYpgsOSN8NemDEXdyJwvZkSLtE0j8MxvWXsuQbggc3LfIUliKAzc3
P2aJXdOoPNxD0mnE1alHXhGKKymqFqwwVqVdRgdkXPcDW5f1iTTFjxV4cfviyXHg9Q3pL9K2Dj4x
8aUHJ+28l4jE0T6caYBujNa80nAbX9JJMWcDxpv38cDunictVvfMkRlJilhMjO1x4934EInOo91i
fp9N3QJQiMLmB7lZsFVp3li/0tLLvv0utk7KN4KfZJ0mkkANRnJztK6ha4kjtdU85v93aMxbqB//
D843dszFdPnPh8bzd/2R/uPM+Lc/8p8zI2k8CKL4MXkDwHr808yIKOe64g8RdBkM/66Cmr9p4Urt
2RCItUMm4j9VUPc3HkGL7UyafC0UCOffGRpN56/mTu15Dv5R9jKCCRYXyj8OjQhmxpAkkgmITiPH
x8ZAQZfDDYDCtO4mj8m8EQA1zw6YmwPAhvbIAZFAn8i88oKVv321B5vOlZyWmzenrDnt4aAWx9SX
dAp7boJfk2aCfBeQz7gVYeu4x95xhuiGVVzxac+qO2Pg8upTJxzccl0Rdf0uIAcXre05dJJta+Ai
XQF4icnEMXljtKZnNS+VykjCuA5tD1ZcD9AZaQBfTf04IqwYiX7mWhqDapTheKNwxJznBsbYyQ2F
81rNg/nqa9N9akJjuC3mFrtSPzcEO3P2TD3M8CXxEjZse/hAn/6DvfPYkR1Js/SrzAMME0ZNbl2L
EB5abIgQN6hJI2lG9fTzMapruqpRjZ5ezGKA2SSQuDcy3T2cZr845zsWoq8bKI0E4GEOQzCGccjp
T1YbcdviIWyNkzcl1oOoBu3u8jxMC+gyMzZZlnTUNoPLFndDYz1Gt4lPfwCyZSZgoy4djxVKMxTD
rdeXfkfggKM6rgunRbCG+sZnNmyOAKn8uAXDhcX2pyHt+8rSRtptCbRqr+opEy4YSPRna892sUo6
QzY9YCniJohydtE7pcZCratULe6V0KBugNeZf+VGPcvjZOqi3kxoVwRXCNWBSLvsNmcieOA34zwK
wEaHKYom0j2n8GIxHocZEGbtuO06UT9Zto1GAmriGCE/afMTdA88f07fjjTruX+XN8L7EmNgp1vt
YQpdlXrkownAwGDezLxiq5FAvDQ61S9B7DpEA1PgBMwSaDcwo/rNOSt19YDtBlt5FiA4XUllGsPR
GVUy0XvE4wZjxhggnhFIVrS27XuKkPrgxk16h/YDYGlvZt6XKRICx6BNQRXI2ZHdZFi7z2GMgybW
pvfHqRKqiWh22QLjJQMoQ0pweHT6ZbnbuCkZ0RroBH/P9N7x1+CqLT1hQy2dQ1zJXulIZzdQi7Pw
Ho0Z4R0JHGKjPQf/l+6p3psqxvMrbMI4umAe840j4bqt0GLQqgJm0j+eOYPw5D9REXO5yELWFBUD
BWzQ6F1k4q3dCbuK7soeAeCyhB52OQKoxXoW0jVN1SS5oSzVXjVkXn7rhd12DEoDo2fk6nbjFVkN
LRwXE4tQnujyIQxTwHa+DvJld1pavwl0bfYsgUVBtx23DHgGn5raC+VZID/l6+jhVvaH7CA6kT1X
1gDqq5rmrU8K2FUcdsV5Ski3a0aLJPc0H/zhegorZd6ZbVo/t4O9AcdjH0yMjHhxbCWzkwMN6SFO
sq0quqnfZxGi2WPZLl7zPHOvhcbIiG+8EgP/AztxVgL3n/y06Z6urN7EZkhnUGqCkaJ8ekbHzv3b
TKir6LfJZsx3vcbCS6pJn4XLnZunn5HRJPeDrrzPnHm43IhYgdUikquab9Mc2eHa5JHRu9CVntig
ChjpxUKSM4OjF5JrjzdTT/O1YRjZs2I7klMKKlfv9OhMrBLchH7tYKiJY34VdUkAWS33612AVu2j
HuW56hbg1BJaMmF5xB9gr6WrnTWVK+929T//fU2VkzZ+6axe7U1J4/3/L/f/o8ud1R8X4n9+uR/S
8uMr+Sj+x6X9+P7TJf80Gv7bD//bNR/+JRbDhb+4JODZev9+zbPsDJkV042B3SJkhz/5+2jY/gux
qckm1PMDy1ru8r8vO23xl+37XhDaVAf+7x/9N2bD+Ej+w2xY+BZxIMJ1zNCyiZJguftPO0fQs8zn
VLCvoqgCytXhPe9Cg5mcMTVflJv0IiIJn4fGZfGFxGhVOpHa8IBHR8trrG969OpAR2ltakvd6jIs
906psveizf1dPXvSwkefN1+NEnKFCqljjTrFNwZ+9vsgTIxdrTn4ViYz1m8g6TCfks6/l4abDttE
SOcrKrgMV3jFkl1vlLsp1Ndp5hRn0PbEIw+eOjZzfPQ8jHHY88hMlOGt0GlzkMArX724Cb9zA2oL
4zHSGNE8651dsRddF+zAvuPUid61G+nT3GXAHrxR7THgJciNwmk/WYJV29hgz7eKa1APwa1dRMN2
srKai1WYXOZ6ATs5zDp0N18GOJvgLcYEuartTfuoqCBCzVEqn/q5rv+kqMSuIbjYEEX1I+LA8AWr
bnCxfRBAK8vtUz7VOqJRQ50hkSG1wMqjpKNrnMqs3wcTFlFVW/lrpydxYjqtTlVuoVAp+2soVcBM
ExxzyPy7h0LK5IgTxicVYUZYxwmTfqJhMV6sKA7OTdo5V3HQRZ9ypENCEuoaP0ShqeuSecVrTdt5
zS+c9+kqdlRNBVZAODcDs/5qg/eI6Ey6+m0kgp/RyQnMWxQoq6Lvy1OTy2LV0hQBPoFUjdFTMza2
UCP7nsMHZXBll1a2K+Yo5H7W4rWPubobr2gOoYu2SercXGbq3UFaeBcGvM/7ILZ8xrRQGPre7XEZ
DXYGeCN6DpifbVARlo+OKKjAOlpUNSf2GyHImPotwFW945e3aVFk/rpdrCiY+rCFwgvZ+FG3HRC8
4Dny2i380j/shiPGMtSRN6bZZ0eNXodfOoxy8qauhnoOv13pxE9jb7LnHOzyeRqtgvIRzPZQVQ2d
PSnIjLOJ6RiksO5YXeBuMkJCJIleawlww+z/3Tndbei0BjaCWO60zKyb2Z7KXTZ44w3jNA3YwuJb
m4qweCr80Go2o0eqlVHymYWZCUCtrcjHw0F9Ricv7xmI+ec5lcFuGghFs8fsu3GIjWXMs5eT7z/n
kqgtpjb9qgVQ4bZTthncHGstU48nmK3hTcK7U2si5eYtyb/Mrpski29ULeKLPWNPVIltJzxlM5Nq
1H5i39mUH24kcK1OBLn7pVt9Ia/rQuzcRnMw3MVyMRrBFvDTZdb1V2eOJ0wQ2ZpSc2MJZezamoCc
3paHoKG0Aqr/mDTGhkhfi4SMzMvXrLv/Kza/vZxq/yh94NSz2NYK23TpmJxg2Zj9g3Yg8jEN1R3H
AZNCHFOYvWexkhJFM1/HSl4xv1soDdbW7qrXYqSB2NZNC2t1NlPSu4h6O6u5H37QNOtNlVTFOcSu
Wq4hPuZXdWxXrzVpJbvOB2C+9ShJyq1CqBYtZtj8Pvx9nvPfZxtBtu0cK54L7BrLuTC4k57W4N8A
umnHyN//4Zr6FxoTf9lF/tN7NzHsOdw8eADZlLOZ/Of3PhnKwdgZi73pxg9gFeAO5vYDVLp3BDvI
DGrMWK4fN1d+S2+BBNwedkE/0gc1LdDXlRG7rYm/JqkLZtlI0DFOkKlIvfyHMVD8mJRo1/xmODiM
dRp7xo5k6fY96HBboIDD3NudkCoE2NfTr6YZ6zXfrfIyAjg6sg1tAPgV+hSaXXKymrLEx5BDZgKn
bB8rZFzeWuRCbfkcyU0b8gwxSo9jOBzLCwV4+F4HefVObUev4BXVp1Xa+saNp+amiFs44MOCDlKD
/1obbXT0SpyKU5n29/yrv2tnnb5mEG1OgLfmDfVcgCjVc/cD4JN97cHNt4JhOoK5BfIJIS2C4WPF
D3jJs341IJRd87IHtot5ssud0NzT9nq7nEt2W9i5VtxBmlluF7XPynLNTWyH8pn5XbhpmF/+IAFF
OKDyfPE24JInNO7MRBZAgQYE92wo17oN58B4sLvBOuBWh4EzB6L+A7pwfPaM2nt2/bq6JMidL2AT
cOMsQmHbdJKrqBHtgbUkhXOwUXj2NmjFUZ0HC1fG1ybbr2EY7sbFBd6Txg7hscD8kiDF4DeiabEJ
v3vQBCWs6WKYYtWm9elIO3qsI4ekvwgLu8oGe43wZiASARDuOyZx1Hi2pa7mViVwRrvxXMWBd1UG
ub1jKpZe+e7EGLpFh4U3K5tAvsJGWIu2h9KO3fuWJYG889hYN3uUr9PBLRfdi2NDIW6x4Yf9nF/0
kNTX3kgkd9JVTFpjW55Gzw/v0DBaR/AplCv+0QAT0ELnmazkoWBiSG9dQl2drscOy3YW+MM645pY
TxxV3XJmxR6nV7ScY3ZsJnflbBg/EK6rr34564oWCsXQ4kxDAr6qSOLcz78Ho/49JDkpnI1eTs52
OUMhX3HOgBiZOQhQia7hfoZobTl5x+UMbi1nPFVDzZkrrWZ6xWAU7FBqcqKbdXPf+019nkHhvLts
rjZ14ftM3ltrV/5eDNlyR/jLbWEWJgytfLlDmjhPyRxh+5OuSYzgChKhZP8dkpHMYtBs/MdJ1O4t
2EkHo8xyr7EQsyEoAnJ1952AX42dVe665Z7UbTZvst8btJJx8DlIoBtwM7RCkm6l8oyXsOcMVSXe
jCgf9lFCGA9A6eVKnwVi3HgyMLFUbtrviNX229Xc8Svyf6uGaSkgDCqJeSkpEH1RXOTekMFK891N
stQdgvIxCpOGVpqpEfsbvGGRocczfl65ge8+HiMXp4KqwKlJSp8NQRPZMdPaAt0SJM6GRhD42ljD
82SMm1+7VpcdbcIlrrO4tDDxec6N6tzgvppMRMxtl2CwS9rwTzNL6zKysPvqC91f0m5KnwydqYeI
TVGHcVP7RxUnxsZg3jNu8JACGTLDIVgxo8VFYNj60BpNDpWIH+XcsBg1cEO5F+xPyUlGssTASW73
Sg5++zm2/atgubkJA2PZWtnC3WH7M/cBI/JHP+aNZ3QNRzDlcEES+JePcciSaiU7F7x67hgXtEf2
0fdG56HMau9CqoK7Tn2uLobK9aMEk5MiEG+Lo22kmdqQ6VlVq6QPMi5eiTkjHLPumkjgeOv1Q3ig
sBSfI33tF3BS8kBBXiDUnXjQdsMwu2LlscqCmmLyMU6sp/d5xie+LnBwnnxPskxqA+MUNj0AoWwc
T5nPdg0sUYu0vQH7k8aGwCUQXGaQaI+Q1Mv1iJaOIOsIhfHMQpEPLfDuwG3n75ntRZtZCNde2W2p
Ppkfxu9oyxh6ISgm+SSP9vyVTwGLaMsrcreKDLSzJUO+/FjNCq5ykd4ZDbkMlV1g2atZ92Oimjzn
kvI2ojyr1q6XrYNaQp7L5j/CMlhsKvwlgOJTTFpSZDTrhEwThGGJ17pDQNlPnb52bXYbscmqeICL
ww/7M8i4BLQOgOxmy9gXQQQ9API87xQK56ccwk8g2DaBA2VBg4SD7eiTs8LTPlCUk+Ac37PWn/ac
PBTWUS6eszHdQJoon01HWq9OY+pDrwv5Mrhu9hJ1ov2T87xvQsgrh14RThiKZ9srmCeCAvKOxJxe
E8Z1i39xMWujcNXj6G3zgLuCx4rx7lb0I1EZQOE8wuDYcxwDT3HvRrl7YmFnH5iKZluzdac3oKIM
R2agIeNggApKvOjLalNnz7gQjrVfL2X9jKdzgVYgxE+cb42VZB86DQ4cE3xu2pbpWU5WPJ1J6qrv
PaO3HhP6F7ICCSb80+eofNZ23gVXFThje4UJJnuo5IDqYB4wkqE/LXf4bCR6BnQaYSbJ2TCWhFis
463Hf7VPP4q0J2rGl+3JSom5yYKO994X0XHQ0Agqc1DrgDc6EfJjFFt8Hc1t7nXJoQI4vx3CotvL
aB5pnGx71cAoP44olffpYmTD0Oe/lr/utmgxuuF6nXautOudbWr/PcH2vsdhBQswMJD1lsXEU9tO
gnSPKsnUStbdMStw6ET6evbFzzK/2IL+MT9Ub/i3yLG4HuVjB1yFqV6iunsrbqdyP6Tp/J0hGMGj
EDyXqqKo1tztUOjNzdC3wz4QTbeaiH/Zi8UvmKJPelYxZGLQPxzFTdu3HEk94c9gv+6kH2E85Crh
+10sfkTGE/Mj9mYJtVQEem367pX4dS7Wi4mxqGrrOqNlXxHe7l2jD7Hu9K/l0fm1P4Z+aDwQXGZf
bLMafkgOibqF9YWve2XFTPBvDYLJD22aUxYZ1XXJ6s4RDbhO/Ko+MQfZ3kt1wymCY9NdHHWl+z15
ALBAhy42T4Np3HoIwc5JBEdqcYNSEJ6V1d+4Qr8G+Xs93xM6xe6edV1TWdlP5sY3+WItBZco7nw3
at74fnF5LWbUYbGlFotBVfx6VYE1GKROcM/uQ57ot9nthif8GPZbJHL3xUMlssZV6xy7xRHLTZBc
eYtLloWHCVK+wCG5eGizLD5iiGF36KdgYUed3CHT8u6nxYvrsvNdEaiDg2Rx684ZSGu/yt3iEASt
O3Of+uMrOz38DlVt2nCv4E/EjkvWL/b7rbNYg2cD2D5+MWxDjO33U+E7gGnq7ODULo1sQiU7FSDk
ekwnzBxd7BfOrze5tUV0cQuYn9jGELUXuFByy0ye2sX23FsKoMVihQ6cNjxAcErgw6QT3icWPzte
g7VpFjd1TwbKa/NrsUZMFrNNKO/jikMUjJ0x7/rlwg28BKWNmT8VxiRPuQMaK48kBVmeYHLHA4vm
znMeQ7a821lLkkt+feAoLyQGwV93eGEM3prkSJ7AvBIc2HMLQ9rTPFm8lHqtwlL3q16Vak0Cs/08
VeCUDZRsXzKu7EOSc0KQN9ltOuVNPCppeagsVtiqqkAsMOEml7HmNBuGZoBc6W4momDPlhlF1xWi
BFi7ny6DGegPxxiXpZlEZ0Ia8hW58vaWpGVW9AGB4v4gtoU7TycmfMQQteE9fTlWNAjkuVUSaANj
oWRBRjR6OfQ+mypj3qajm9AmpT69eZAX5wSNMR9BZEIAqc3vWfcgra2u+kmiYWRFE6THwMb02RBT
haUlQgJX4SwixqzO3wjoAT/U5FZ07xg9zlsK7Qu9ijo7qauPYvKYLCHasp8zw+nXKk7lW+nZcNVl
UZ8zY0lE8mV2kOgqDsJOiz0bm+aqQsR/6NJhLUdKyTGDOGg54YziKTP3PGH2k6JduygjY+mHTGub
lsw+ErSNpsC3qJagHss9jd1hCvg8dRW+IQFdowoK7q2qD9l++9mzhwPyiPmzuPLTLgAfZ7jHaMgu
se0N+r9yQPyrVth1nAApmAgtojD/uRUmDcuKIscO9gaplFvXYQ/UIiJPV40LVpGwDvpfuxjjx9ir
KqCiaEfqTZJI4w6h7PQJtEq228Jxky2JBvgwMU87X8x0bHaloSBAw0xmbO3V74STLSZMuWBkQDhB
Zz8RheKQpkeHaKz/r0zt/x8CKZmhFxCw+J/P468/vpPp419O4//2o3+bxgfWX4GLuweKkCVYrQYM
P/63UFswcGfZHSxmokW9/2/DeMv763c9H4QMjDjoQ17I34FK5l9MLC025Z6Phhwc039n544q+z+G
RjKP8TxwLpbr+Uyn3GVa/w9zqRRH4Djnc7db5n/ORrRxsmd+l9yyRxLPqGfMl6CJA85NpL1XKflB
5ol5lSLZLaUocqz0tm0oXmhuJ+eb9Mfwca5UyMFXx5Z3xdxKJ88xLLBpZRh1sNi/LTaFGCZHwxYr
7Mf3DaKnJ9+t3bVKdH8rK/E8s9ElMqIaHlNXlo/xXFXfGrX5bSvK7GCxpzx585wQKFnqS5mPBQQA
32WwQ0xPSfpjAiAENQqsbpp9lo2qms+BMAdYcjqY7kLixtDwpV5Rszhv7qvRK+f7PuzoYRYg94MU
AUtSErT6h9KsEdXNzgD4I+SoYFnsWEl/BDDYNyucyfLbMAKNlrWpkKBinY7VlR6rMDz1uKT97UT3
1d5NUy6/ndap030cjnlPekYcfhMiMH7OJl34wWohPGOnZ4EbZ4PhgU0O4YwbHmf4rRv41RLc4PY/
aiFp34zsn98LS5uPtWeVtCVRcGc5E3OjLDsmqCuMkzQSKeBNBDCkqI/7o+3BYFs1UQucokg8Ma+S
UTIh7uFbmxnInjUb3Rx/5CQeychI39D2xd+6MdqvUXT+TemTmYDIGQRslAyxs3ZLOZxJC1f7Ko7o
PXPUpns+FVKWlIuIrkBwHgJhkvMBoB9XnKniKyhdZf4+8+W4RzmPeUqJCmIGlxBJKwVMljkmQVBG
ExsastfTtdTIwJhIoYq12RW7Dpkw+wyC68mQWXzlVPkXIRsAJqomZ5ZV1gjDsDw/MP6LV6wx8pUo
eN8aLvo6M2YzAYM01h8wlSOkHNr+iYsyeGFKzpfcFNz274n0yZuTBcnYevy0zVoQd9Ebh2wEIRhW
VCoim1WyUYS/nD1V3ks7S8dV1eK0dyeSFAk0emvbIr2Oh7QDIDnNyb5RfvDVlgjCqW2N4hVJgsZ7
ZbkMw3D9Y871HQsBlhbk0vxuirCdEu4nTx0UKVDZjDVXUxF3Vyiv001WVff0OxCpatNp9k6mYPDb
4WPhOP1b6wAqFrLn+85MANwO0dQ5WfZ1FNgHASH8A8+ATl60qJN0nY4JN2tFiAWLBKQMw1H4KmG6
qGd2VnUpUmATMMuWsIM+ee2GdIQWbcaq3tUokMerZooNtir5UsaIwLKTnZN7oDzRs5i3HaWdD7Cs
9d5shNx0tUHsGxF8Mu28oDxrjBvX6ZJ2h8Y80bsRg4q7cdjuTWvmMba7G6YRZmEGa5/KR1SETK2I
FqlGok7hIl8ztmJqYzbAoB7QHDvVfRIMOawTPzKHF8W3K1gJvwC+BsmBxUw6sONbV9OSewnHvT4g
TVSPIivcY+CGcfOQd/UETxdsaPZn6Cd5hYWbpstm745KdjaL55YXCjepznKSyFTYIliKWgl6EWni
JnZ9BKammCsMJ+C9EXprM+o35Vz8tCGARQqfId5Gmcy7I99MGlWZsmfCE+fctbCDbiqCZb89Y6ys
A1HMIT5nx20/4Yq2qGOTvFlEjchwoDilHBKj9VR5jvnUOCUbBZGbzq7InfjgChJI10lAKei7LAHX
M34daxPBAQHTnmBiWHFA+sBOsSPUsO/BHZupjAz+EOXlqhhzqtSsaoe3vq8Cklbd6qVGSYtOxh2m
Gz1Y+alq7XBctVKOW86h2NiMBIkcPFMN133YhJfICNBvBVkS7sg/Ge/Ajk9rJ6mse1LKEhSzys1Q
6VdxfYwaQt9WsoDKbzYTZBY1EA5ptM0jI1X7pVTesDNbxISQo7yjTgf4yCVXZLkdDcGsKO6LtW1Y
Y7aNycmdtyh69F5MOrySeDTXNEY2JvC61KvEqSSBlrX+EPY4vqeD6Tx3pAYePYreHYPg6J7bMg32
jel3j7WZjZ/YSp1vKzSHxwFQD8Dj6gHae8uMpfHDbpv09UOmnTFbwWOWp4ZtpNgjqosPzB3tTdn1
7h4vQAbvzFHkpRBGgRIqKHr8HsRFvMU0YM1Gd1V3zr0p+AnpYMh1qh0mIKE4ZEqR++uXeEpq5HPD
QTB43RY94J2C+vtQkifEcDobblw2fzXRdMrMdpPJG1YiNv9I7FFXOsoWNknFuO0KVwQhAV07109N
MRQ+boGSu6vqJSHxju7PeLcQz9bYll1gx+Q9kmHn3PV6sq+zJg9vAQVYOSrV4Iurub1iO9e9Zb1L
ot0wjvIkxzw+l6QR8FomDirXHtv7MmWFjQi8D295LeqdOZR4zs3Oo3RlC3hv+ehdUneSqHY9n01W
9scLrOKJmjfbDlGZKhgHunoTs5g3o6uYoLfK3ddgZzdEl3z3/jxfEpYVN1QuYBPCqnydTESDTWik
gOZrhy7B1ARPhXXP8+bDkDZF6t0J5OsJQrBwujO1McsHRuvGyXLq9t0yK75gsaMXR0XdlMGG7qgf
aC479elh+33vAtnfjczW7KObVPkrwJs4vp0cVfAwZk71WSNu/orsBb7ajTXqvA71fManCnRgB2vf
x+U2YWIlgNA/SbY8CcLhmn9OiYtdaUFegsowfL/ftDVkMRcBNPP2SLl3TkYTSloPJzO/XPN5NLpK
Me3HzkAgIJpEiAUNjk+sM/tpHtSPW4doe/Kefxd2on/cQZFlS6j71UBE+YmgB3mX1yA3Vp0/YUNx
iz57Ak1Y7ZOm7M5pQoqi8CLmiC1zNmKlU5TxJm06YQQdl83Eh0PMS97zCvuEP1zGJuGhzcou28nJ
nj8a0r8BTywZj+lkRF+qG30H7V7P4DcOnIZIjZEsw4vJIpdY0oxhnsWPg+os2c2ukCVWtw2uhXsK
U+JFU0QSTHUxu2L0Kma+rEyG9laY1e9hrkueN7sadqjfgHlFOSt8hfVuSfHDhI1esQJ86bpnJ4qi
D1vrbgszfwlEc8iTiOvGdFfSdPOjz0vaxpyZhKqy+3pRQdx8zaKGZ2PXvnuTJm5vrELEqviypvGq
7WT1WIdsrlZtW7s3dYAhkM182h0rlCP21nLi+sKpP20QW5B9SLFTS3goUfyE2WA5dwi2dzoLPyHT
H7iabUTRtJnqjFwBmGLNe5BmXDU4DufbliQ8opAZ83woVbtbP8m6el2SDX5rp1brrPyhNHMwRI6g
MS788Vq10D+gDIj5iQzr8DFsZB4sbJD5huQScajqsSI42B+dV4E4InnI8QVeGmdhb3PABN+K2lIh
OhBTtOu4mS8Vwa6npKgjUnhKFRxsAnLVGrANGrWYz+wgUvQUrlLIA1yz9e9I8iDhIqgG68Hj1tlI
L9bPyazSBxs86gW9DnVb4jbdXcFQqN+JkFkYJYkhsPGo3puQzsXeQ++F6S04M48iL8inW9du8i8k
mPZ9IzmoDx6cLzT+Bklpbk+WGSce4fNFR/LNFGR/fOiQG0oh9wl5ZW3uWId79wKFD3O8zE/XYQKi
EslRi11oUuEpIXTxLff7+VKK1visWfc8CPIJ0rPVqRLi7OT/hIFI5RWLWXA+c+eCcEQZ+jwP43Qo
Zgh4WPjydOP4icC4hlmw2nk4J6dNWnEKHZqm9EBsZcYT9LSi3xZIS/ZCuepcMthZ+1MqxJp0Zntr
TpqY4soCcy7yciDurOinlzlAO01QjZz4uz7EHKgC4w6APqzEmpySjRGn7Xao4vSM0UQczVK/joKY
yiiuU8wkk+aFWM17VJPPxNXEWjNBYZiyh+fuip27FPHl1mV4Hq/SifAgweG1so3k2crhRTgt9ka+
hShEu/CnJpu98+z2OBJYum0CVewc/Jn7gO0pxpcp+hMZsrt1rJrzb2J7sGpHukPkAvu6ZHs7UCKg
Ph177yYO6/oykr1ybDIJXWsyKuz2zF6b2NdfQ67knW9MkF1xJfbULn796HD37bxg6A5DEcagAapu
XYfJfVpxNHeaFzrNuKEGFJ0rv68j9t6s9SV5qSui5bsrbcXc1ChTNkM6fNE9qCNJpDmBXMgXsPYN
6jtvUIBus6HADJTh4iSgC4NS1XjqhCDGID94askQYvDm1EDKQnQFH3PQfJNIRG3FEnS5TunGZFKh
DJja9jQZ1kwQYRzv+iShq00nW1yHKeE+CWZ+AqEM5nUxatYUg9+dKgVo8GYc2zP4MnWFHxkNNdHz
pEC4rbh18YatUQp4V3YdPfK1v4MbfO5H/WzPg3NxfPCBATYQcI45gyFzCFf8Ovt1mMcZjducJdcJ
9rt8nU26eK7tMXkRsReyVCkRpYdV84QnafxIZT5evNmyMMlgobyeZs8/eNbgHOsIhspejB1zJ5GN
85tnidtcdu1tjjx5H3XqoE1YOjkDq4o+zdbvVJ3Rmnm0+9pNdf8p5+66TIrm3BVZuWlMURDOC9r4
0woj8RlTbpDoO9Y7JCwBrmdjPvd12C1aav1QJvy/7YBIj5hWedcUMQs4hmUu1NjSuqlZ8j8SPdNv
EJyz5tGFod6aCHukMq1+W5UIotRkEzJN6uyuCH0Im2E0PEQxATYiUGLHipDbzfOcnW2Y3ktQNVio
WFbH/aZv+1lsqUYuBd/GZlv2Dcu2WpvltjEaFFGIXiqW8hhruMJJ0F2z+2dFrQxbvquS4mmTGLr/
8YtI+axgx2Bcm1ZV0ZkoInIVt8l3axmoH3JcZYdsTqv3MW4ZT2jbKqKVb2QyvpTACJ+jtK8pv/MS
iLVtvVuwQW+hcZikfxi1ucqdgtgoye/hqOludh7aEQFQZEyf82YcXJYFSOIepOyq6kAWeLCFDaXk
Niia+bVPpMv2sOmPI4IR+gUSGIBNwsU6LAOSj9g1zG2fE+OHamEk4tZ2WJevVUVWEYBLMJhD76y5
X+RDUvjqw0KwAPjQLA+Wm763WZ2c7a5TxOSCWtuIgTkLfV1hbvCHuI+NPymMAeg9ruMRF+jarlqs
bFZnzT740dI2dvZosPEKBniXz1mTWgL+shHCtY4WMLYPI3+QuxR8JR+ECjXxcJ2Yu1VGTuWPFKO+
CdiSvIixJPYjwa6MZV752WsKcP/EBKdiKZs1dspIayxOhp/Z5eMQqfkBfXmP6gT0SXeukzEfNzMg
wG0KM4/YuYmH3PbfwrIpw21D+7a3Gc5ByZ1TMuzQkM3XNJ3tOySvuWbjjR4/j9ns0JoZjzIg79Lw
5m5NCYnIVNf9O49c2t5w5HvOudFldmtGtkOKow5emMyQE8F9RCUt3X2VF/LGDSVS2zZGzZPiOLhC
b4pLLUyKb9K2DHIcUVKguknanLXDbANIzsMSFKjZMjBY2dJCx+PJAT1RmyK4wY3XLW2hjplHFE0H
1GyUytlwrusBlVu8GC+7mghiolowXaTOyOPeZcnEYlCUyj50dGIZ2pIpKPa9TzRJm7uK9K9W6ley
3pdSuauJe00JH33MGQe664iJJVjrgbiNtGSLs05Kvpgr7uncOzVu6XzERodhEb/uuM6HKafC4Yqa
fBdzoYNm7DSEclHbm/KFFI3gleAqTDVotoxLHWBbW3cM8jtcnd20CyZFCZsC0T5SiRNxOkucR9Gk
O9o7FJgN3BclSZNOgvjdaSa5rzzt3RRRxYbGqiCe7pSvfUSjgfvlMf8wNhku4LPnFOCeU2qe16xb
yNOmR0Rt1nj2pYT8eShK7CJ8g+3iHsYOYYNAeVvSXeg92PDEeHwBVFdXZmbGFuadkoekRI9BXEy5
GDkjqzSgA5FeWcpjFraRhuhrZvu890krj4pofOs9GizeSdA968nH9uTpMeRd/y/2zmQ5ciTdzq/S
K+1QBjgAh8Mk0yIQExlBMjgncwNjMUnMMxzT0+sDO++1rjbTvbcX0kKmTQ9WmSwyGOH4/fznfMeT
C3vMrF/Aavu0QG2GjCkZxJ71pDwVDzunV5I5IYvsk+wGujawRaTvgkQRukUyGdae9hXTCIqB7ey1
7+mFFK1ei3uKVCrqcifPhYlrTtGPJOm7Q1EKeY0g4iX7UoHFQK3Nf5VNIW5Kfya4lGffEZfOa+Vd
oqP+pfFxHzSjSRhdz5CascOpSgaZgaWct5i22NXyVrnuAQyWGzbEgG/0EPlPRdJym58Ex88srfTP
cB4JOmlQP+LMOUETZWRaEAChJxXWlZqoMTxECr8lEeVBL9sEjulHS37lOZeCIGeW4JTYZAJJb5P0
HhnIWKI9chcwMnKoLSililVq9D6xjz1Nol19On6qbvFVrH0tnJ8c2GkEwq7g/F+2WUlOZuuW/QIC
rLQQbPAsrRSpZKhvwRdOEIfnbHqTYYoxxWv0G5+kVpxbk5bEiIYXfa5NAVNqNDzb3xp2F/0KLXBz
+0nolGEvLA344l7DuTKVU148p/bgXC9+tUAV131DRzOPSaijkuyyI7N6Z4i1PWqozfkMfhvbNbdI
AzxlOzVUOgI5THciTpZ7gWGkPigmo5Yrkw+30eQzzybYCW9G6Ktj0PbpsmvMdE2MEyXhQDXXjDmn
qj1sVDFROTOa+jzD8W6C1TOzBPlco6MlrYmYBIKLc2CJfXDdCx4oUnBZwRVMgjsI05TQoMLOIwnR
g8HfmGOEWDRXfMORMXXhTadLN9znhfU1ZIZ6aJVnoTymEt6EUfUTOMi0z/gY5/jJjbxu6c3k2IT8
0jfGfcRVQ72IZJmx6tGcQrgZaoQarcHYc613ki+H5NFPehJad5eCXn3IJ+WUvMZus41HL3nIaCA6
ksCIhz0WHe+lTnR9WiB4ATWLmaRLVaeXvMl/1IYd7qrE87IrvP0o7qupLGr6gdTXFJbvLHSMX1VS
z08p1kJjC93CZDTl2J1POY9CitpVXtA8S4j3iPEQLTsb/A+GufZPM1XF80JxexJU9djtuKzF14bF
sgmj//oT9SHGPltKgtxx7nxaBgwsVAt7PyEonJB0nCC1XX3pzFnoLZ0ENuRHb1yONm/cB4iO9QPe
FT4BaWYl21hE4rGld50Fz7JSp9mOTqe40fV+QV+J9svoDfQIUnaLLFN3ctlToGEnR8XbN+VjNNjo
lrgK0lvEhoyCgMUalnNt02957CY6S65RMxVNY1gJrvo5fowbWsZREud3M0x2Nm0gq3+qpGptyccP
FjKw7v1G/GAmm1yebWksHzGxIVpUmao3SSujp1ZY6olZNFpwMcaeEZisogCGZ03zKj2z+vIFkzOb
F3SAQHVm8Ym5T2UBCdB8C8IAsZ8UYUN0erI3DsXhORNlK4vD/5HN6/97BC1+rUSR//f72et3yuv/
9t/ei/q//+303nHPbf8Smfr73/8dmQL1qMhE4T+zHMe1LXhVv5e09h9gsQjoeabkv6RiYf97S2u7
f/CRcOlDJB7li+801e8trQ1vki2tRdQKuCTz/7/Eh3Qkq+B/MNAbgBtI7VsAtf66nC2FjixkqeVA
JTQzHKenBcIGQDie7uG2ZstS7Xyq9RKqFMZ42ejOyXagT5rTPA3hVbVCyWcujreynOItNFJvy2E8
HXMEfniFIfmBGgRvtdcubTBMvugcIY0NCMjzVQFJkxVePL9OqxuNlZCJ+oNGQeq6ubPoRXmNiBtD
mariQ7H62UbNRONHvn9VLiMHyOp7K8q4vcbu7mxIhSXvavXHeew7Eg7r1TbHypUWwdVLBwm/2A/z
AKj922o3rq47OKnczNiqqzPl1bB+OOf6z+jbrMfdXDz1q4Ovn5tkPjXNkJzmVolzLSZjH7LuOszY
/xzaC9cuHR41oJp4FqNdj0EoamSG1T1IS/IAOQRHYZMOwCi5ULxBLEl3+LuJha4eRJSsma5liGyn
LupCO/D/7lrUhbnCGgr3plxJirHINVvMMTy5YC3/dIAnYUuvja2KKA3lZMUjubol0fGyV3zo9WuU
+Pporq5KqIwU7JmIyNfcb2GfcKz3QQ3S4oO5J7y2yQSLQ+xBzt0Q53CvRmOA/iJocHwy6NiZbhbH
I8y26Nz/IjCzHHOgZ8zGFCKcpBnV7wZVP1TGIMAHRtH3hD1zOguWlK+SIBxE1EpQcQ+ryDiuV6od
YA3w/jlMyHj9k7YU9ItFiRYPxIQKst/8FraiteuXjIGemR8dMXru7FFRVDgIeESwtz1862bBBtfJ
VHRX4Gq44tYTX1zwvoFVk1rn111RZkIcogL8o+P5EkbhhE0FTpXDlxSXlm/xHXg8SCbXAKpWzo2L
ndnoSQMTF9uHWBPEBhd2exU7xrwvICh/zbXke+rAhsFhsmKf2BNvlXgXjo148GQXvuOXQf8AXcF/
sHYkd8EgsI0ZNjFKNlZ5DhlLt/SdtPeVEDn2cb+2EgpSgP7AeE4eEiePvhCUY1D4oNdnkYCZcSuL
uw3h3p7F3rjg+vRVrvUxVYb5C2///L7gL362+de624qn7pfJjpaPNFWKzXZYaGgCE6yorbOTrqZC
bQBcT16JmXjLYo87hspFVW2nwXWIrhVDuBcGi5oL01eNsDi0Ubmb04l26oYdL7Ut2Poe7cTLaFSo
jQIvNcxMsUutRuGnmrT5Oc5NRU1iYnEdL5aoxWRXeisUJ3SvrdmLOmRj32eWmT6ESZ5jtir3wymX
/GgSf3uYIhYI03o/X6wGVSmPcL1bqp5YSKTRO26n5KqQbXZVzyG1euyu2C7K3r8Dhy/IDHYFP+sS
CzvAnsbvaYKtdcJmiPMJ8ney1lb4mi4AsjJH4ptEiEQNb26o/c9WkBzYTr0BAsVL4j+Rlcc/ozAd
9pJCnduFm+clKTuDO4BbXFLfhesStQyYG8eanZ9GO9volZ5d0HiOoH/O+SUB8Kqin3wRYOCxaV66
1GJR6fgoU8zBeBfleRnwgSrNkJcMKj8jEsGTdyKGlXL1uXtdSnaRISrZ1SylAjA72YDGZkG2GjDp
XUHCqq7hndX5VuHoSra9J8JzmnrTcWbxuItbciw7usDDM/2tORFCw+Ry0LReV6/kMfOdPKD/LG1d
7CAX+Q/Vkt+zaMNiwfoNIoQq9yyPZiZP+jaepDv4p4LVKs4HJ/moROxAiWKINYmhozyQmqLUhRro
jp5G4BrZUSCZb3M3Hndu04xbPuqUGaxnejnDLGt6B8hENDlv2BFy7lrw6w8ukUl4a3lya3Du3RSw
Ru78zmjJUqCwmVXbPbic85eGYo0tDdLoWYPOmoMcY+citZM9WXRvfloetkcwh9mw00r4p6WYCPb7
ZnJkcB8PzJc4W/wYaM0oyoohj6zsth6L9CaiyzjbWfa4/IkdoTumWZE8FHgLr4BR3fsLZadbTkug
hX7qizee2wDv24zVPqYNeb+YXMWGLhobFoYmzP6+m8s7kscT9vcq/gLgET3giw2fkHpQgYkT+uiP
HR7ornVuuX+372NRyFfsoe0WYpAK/GQujo7DLQ6t1DL29IAQuU2G0bsvJts700sptzlS7HloDecW
sr5HuCe1wusoYlW6mNEI1SlJ9lG82Fc9N3lYkhYdQoh7+YPrdehJSUjwlwqE9tMkCRDfCrYT7wak
NRKp2WJynaOdiWl9ms5xwq6dThZQZ7CMzosqhjfRRay8HdgWC0+xw+AX1XrGq5gpOAyRTCynJFxr
17d0GXk1R2AjPm1IzOB9OH6BnBHEwiy1bBqtuo+QGziCUSn2w9gY1ws7+E+0j3lfWd3w2EY8hjY0
dmYHm1AJAOgoexcJmVS8riK6Y8VmkobK22TfuKjdUctWVWsHqaKrPX2CdmGdhoIcJ9wQfVhdN4fZ
qTjpDP7OVWJFRCGbcLqkKpao6HikO6kaXs2+eQ7HsmUrVgvAwbQAZFPVPYxuS7xVhd5Tl/rDJR7o
T1mKmec1lviTMuQtgevyqls7V6al4xJJAZF39nmu/vl/d4xfibsfFf6tJEJR/J//4zeBd/vev//l
/+y+WQT3+rOdHz47nff/FuVf/+R/9R/+7fP7q/ynuCJMrv/RhH56Z8Hav2fvf5nLGZv5W7/ncvWH
6wpoiAzXwl5dkv8+lzt/0EDp8p4mT+pizMFo+3sut9QfDhnb1VfJl/I8m3/0ey63rD8gGJC/5Z84
/A/5L7kn1+n7HyO90lXKwwlig9mV5Gj+aTqXHUKi1/uswzr3COrkTobZl8XRO/Ts2cL+ntvkV4P4
9Z+YiJX3zy5iSTcnNihYetJ1+Vm4rvyjaRM6p73IJaeciv5YGg09c8OnhI/R6A5WdCWIx6T4gxzJ
6JwYy8PUoU7T8hqz4LW6+ouwLqH+jIylpPBaqR+VmvFhg8DHsJFAAqRN0UVyM7tZ8Txvpg5b2hDv
bTcUiI92dVjkgP8u6uU+6nwCBXykYAfMEQ4y2d6NUS63mBA/UjOiLATrWQouOMDbMGy8pnyYi3UM
QSyWhjAphAfq6Ext+mBPlhzYKw/2rcVodMkjK7v1eIisKQbsLbZK1+AZ/75wnroDgMnifnarHbCV
M5nW7iareSmIjVkommynkeOyhL888jwJiqoZPmxpOM+4nqYu6LQV3WGias9uWdAWxj5yI8h/0Oa9
InlYO6ek8NPoBYOQ/8AzdNqFuHvYJVVok0IDXG+cbVj1+PCxm2Njah1jj9/QJl+8Yo9Ho+u/wgkF
hpp4n6h5lPY+u/OxE5hCJQCW1jefeVLAeoowF8ltWNvxQ8cRhhfHmbMygK+ethvQjWu0RsUnYZvj
aXSN8iwcnC02i+3bKSmcO5NmjHgnsDNcCAt5AThE85x8R60wz1+maIw44jk7qJ9u6IOWXkEBH9VB
5aFy9HQeUtXvYyMsg7VWfJ8m/XIqgTQ8N6XydNDUHeYjHMnVC1crpv7eUMaGkbI2DloNfnWJhI3M
GTsZPYuEd3t4o2i3mBhqH0BCpZ2jNFmMA3Y0l5ciFyabhdCLelZgs9VPGL/UfMefG5sNlGfr0zU8
19xFeigB2vf+JZZjZ1GCQhY80C0mStcy+ivdDasht6wAVURchxj4IdccnBghjK5tSoncGV/QbqG6
KsTpSnSIOmOlNrLtUm6CXj1fhVD9O6iNbn2DV7n/SWyHNxKgqB8R9shP1m/1B69M8tBl5TqzuvgQ
mzmfyx0ac/zDKckybhLNilCkUCA30rSGCzck/i2LiMlCh5lPQISMzM+xdjqMy+lKWHXIgjELpIBd
Y1pBdiKZxJ7m8vlRVIv9UJIPAUOBuZYQbNFwzVz8YfpoCg+hO43G+n4ILR/7URW/soPJ1c5RbXXj
56BFgVhH8mXocSx7mpz1DjFtei+qvnumh4qrkihb+d4kTKmb2jMooGOJ4AbAmMBuNVZjfRrUED7G
fV28DG4a3kumlR+lzolF4QFhdyFG23xiRCbU7FjkmXYMZ8VjJelG6MCTEEhsIlKbITQF0i+MqfY+
YWBIed1zg+XdxKCDSC4XgCtCHax4YPEQRwQahh63yOwtw3CI6Ud9IHGD79WPzPy0ZLClQPCHnCKZ
V5BpK/LRuJvruSuYrlX2ks4GkVbTrFLKc0uv+jDNtgTC7drFEQQiA55lpN7MSSi8K10m/DxSF5gd
61SlF6PI44voPVcTQnK9LFhI6d0noG9f+JW63FNlQbeVquUudGT7GFHDCDLLYUi23eKenGa6W5Av
JW7XqflhdzxNvk0ybyOUnp8c5vxGVV2iM3ItRg2Fqmn4Ae75lJkL5ZY6QPTvtSp47Em1T3ynRt1f
6whtG9ZYut5hh5JjYQixiBHHXobbsZfjS26SlQ4WJyfCDypM1DgEGXG5vtIQHGnXrXemZZR0FmM7
I0En9MVwVf2s5sktgi4cPJLNY+n8GIul/tVEC8ZzDMIc6bBA2BT0okUGrfMYh1Wk2jm6skIDz6pn
29ltUdJ2dSF3Ts8EMCL7uhokIYIut3HMzIYGYjZri08XtbiJhKWdGsCj24ku1gjk7o46Z1xEZQcp
bOwIkjk2nWHbsV6iCiTySizljdPS0lhlSMpOhROKGLwJwAAGnLuRs9vxR6wVNje1Sq/uq4K/opZr
HzknqIUKYTa37U9vMCxQtK33otO2uB6KITuhfnAQm50El4lDqiXopefXAu+mDiKVjLdOn6lyV2Sc
1EuZkaKesxhPne063i/QZfJxygTIFGCALEBpf2e+1V77Neshvmd8RRtIypR0JZf8W1WM1p4flC14
VBWvZRW111GmqiRIvXV/JvOIsBZRhUKUZmB4ujuRqCZgzXf+vvS0YY1xCO/MdHHBogZx03XzWyek
fXSnKapfk9sJtiVRu555DKOZFUuG7/3djPACbTRNefO5knMOz1oOeDlsdgZbfO8JyWPKJ3VQW/xs
UxjPP1Ys+BPHb32ZWiEPkTnNbxhArDM23wlLL8bTN9h5bNJBo2GXjyjRiIIB15QJfMOCy9bN3D8C
aZjtz1G7PW4TgxbNKRQX0+vcT5IkBBfDZHl2+SB9+ITUHMKNNPBOVX4QzqqlqKoH59vCJPq1JDSf
BW7TeW7g+wZgdH5p4j4hR/jIck1faVNk+bkZBu/NRfb4WjICssShGiCvbA0UL1waLy0NitMknKtl
ctbG2yhUmERr+c7TJbmXFoRGjq26sKYNCJEl31Z43WD7s9P27ohPovU7w+JMV7lXulz97NbBR6vd
7QT7lw8BChm50fQdM3N4Ww3V61C0IAhaeKtkNHGfF2Ch9wwGbLV0b3gDbDpHPsrFBuLRzLCQgyJ0
MEvGk1FvC14J6oPndqfZB2F/FOoDN5F9wqyvWN15VgQTE7/LsTEMedaO9dbIsHkmH+j8qTIigEfP
5G2280Hf4tdEtILISHHzl5JGSmZHe4PekdFTD6YtKWxboewUz2VR2G3jSad8Om18UJtxtFcI+lAg
wcFgJCSC6caoTnpwnNexb3hHwW0uGYTWDmsgnNaxzU1cXfCleVzygLe+WvbHFed0zr63LemlM3BM
38kkAeRlzsVA7+5MHagXo4Sfs6mYr3GtG3+GSatZlwL/x77dKjPAP9f/tJuBJW+uE+NnZEi2vizp
0/eJvAD5FVEg8FiLYT2yTnOcYzTUzCaQhcfnMRtBYcCFsLurmWg17eBEV8IgSymsu8FsZT+YZb6o
fT7KMd8kS866ndxJc9VL4f2ioa0NJmKzVAvn27ap/cDuLbl3Byd+peUQJdEgu4Rfk1t5VnRsTM25
haE5oYkSXF7SDbDIj9mK6jfTJZdEZ+DowDhMcQptol4VeyfBM9mFCX4ksn7BVEfiTqcKrrR0Y5b7
IC8MdwagMJXHyHfxnM+pcu7TmpK71eWyF12b7zw/dHjkDrBmQpfFrafVQgS5+ODuauHZrewvoinp
jsAB5pW28vwLu//2nMak6vmKufewWHNCML/340djtooboUdePz4UL5Mzclzltr2UB9Wl82uIT+Kp
A7hC497iTjOQyaizNtZc6y+fafDDiQeiO3DN4yKo7NDsAlDe6stWHQ3EixHHTyThQU9WnXBuxg6X
P1wjUqGgktYFMVj1eGvpmdpbw5u29dIUMEU5VIiIhWiBRoFrYAO0HpxlCGBUHDWZMrVlRz5fO7wR
GXqBhXAP4ElLoByAsevMdsxjrGzy24JpvthmSzqYV26bs7i2JIYn4hwPFez83eLZbJwLD0nHRIPb
jSB5WCCmtrFxGz2a0JClcZ3lIbuLaU5o8vVi6UOpGdaoPNYKcF52ljf0Xw85rhirwYEYLTI2EN4b
JiQDROPz6DnVs4X1a1+DYZQ7ndXmaVomrBZ9V2LJiMj+v85aATcvDB1/ZnBYEXnpTLI2Jc2g6yaC
8BmYMlG9mNrOn0aQKr+oVq6OtJ1OFIsmfEZLbsYVIPo2fU+dKjJRCmv3Dn8MOWvbKHN/I7A/sMcZ
GA99vBctrzL44O0whg6Hg2NhnXSqqrlvSd6Q5qVD06VXYGHA1gbXnM5pzQsbnsY6oT33w35uHfPJ
IyuCHyH/RDeePLj2CjhGa3mh3AwFOvHRlZF1LVvKdCsMvmBGelop2IUo8zqEO7Yey3ix+9RtL50d
1RjKMmfk9+hyzQMWlR4S4ZhXgDHdOjCq9Jf0WLUQC0ysE7dk916m5clSWNtG1O4CAZ8QXfbMkqPY
9ly+2IIjL3YODJDK6LcYOcVmFPKu4wNwlxih2gGqqwN6nEzuDYwfq9cdpdLrsx3gTS4WS8L2QLMB
AuVk7jO7TQ4la4T70ekLuCttte0tpkbU77kN+dfMTn6uSJPtDOjAa1M9w8VEjSVLx25fVvmRdgq2
RsyXUZeNl1K25otZFitdnfDAltLaV6A9OugTsnQDq8udX6eAIMrpDuP1BO3M1fJYOZN/FXqhg9W1
FhFgAyDGFMo0yYl0/Lip2kQBX2vzVdKrWKXDcXCCKvRhA3B4f6rOOzTK7L7q1ZcfDQNE/IEkdWUM
6tpDtf8hAKr8wmcLjY0XSLd5xR9xtEnyAHXS3fEVM+Oy0ILnBZNdT0y8cVc/FW1vHrGLsHAf/dl6
sovYOGGY0huWAPURTM/wXHtN9jPU5jIGwpyBBWqv7H7aGdcgBoAEH2wZYmM/tGk2Kk5SMW1J6sCY
xVaR/zIswLO0UjNZDt882vSbTWt9c2rzFVmbpcq/p0QJjq2lQNpqdxy443yTbnVCpSfXTCaFbbY+
M+tvLq79zchVoz2y71jRuTBrOHZ6vrW3/putO31zdqdv5u7wzd/FjAaLF/dlSeS+YkkbIGfC64UK
KX/2K8S3/ub5OsLP5q2iR+bK/yb+Fs3YEQj/JgHTLiA/1YoHTlZQcDeunfN4alkafpOE9QoVbr/5
ws6KGkYWINy24odxQkMijtRKJQ6VHLdRuERzUNcdKJoE0517QEfmcp7m5SBAFQrzrAl1Hdk8MT31
CoP6vjKm/gOYnOr/v4Phv6iP8r7iSEI2/A9cDPE7QIr38tdfNdJ//5u/Q+beH77LwUsakHjB310K
f/cvKPwLton2R6/Id63Xv6mkwv1D4NPjL7B/czy5Br9/q6TC+sOHBeVzx3WV6WJf+Fcy5p71z8BX
7nzKFtDl+XLOKpf+Va00KT2KQgPLa2E5SxvkpE7LDYhYEIeddjX7AzeUrx3XlZxZWsKiqUmrDqwq
2sjadowEwLfqZngcWbmgaLq9u+9JEd+oSfd7a4z7h2rkhlxaFewTt1gQtthDHTHGlie+oWLLJ2E8
jj7CxM3sqnE6S1BUpzqqyuTO1ToCvAAyMdmusLH41HoeCl0KbfDBYULjrlXMFBu43roUnxqzpGvJ
YyMDa4nBhCpfl8UANRegK/zSHUDThunDoN3mSFOLh7oylT9cMjV+oENL/+KHs4IM5Ge+kZGtn7xO
uhxvBm7MDUmd8DDSi8PVggG0guGEdOI6coj2rd3Aa04w7lfbDoLmbdJb6wUPsxN6rVcv5rXIQjJ/
ADuwsOFFCr1jyjBtHp2FuDC9XE7ikdQakZ/Abxk/Kx36DMBUZ5+rsOLSUujk3IGxNJkIKy/BquiR
tVP53JdBYXut3GZtS1FKNXBtisZKv+VYKZC8dF99isWwv2JueeQe+ro+8zycb6aRlRobZzC8uFPw
kW5ctmdHyxDjxVgMKqFthtL16CcWTalIvqPVy/jRNQ5bGPrlu+rgNJ28GMIN6y25qRwBsxu4aobV
kD9V5OrmjdmbfQuiX9ZrZkVZX7IGTxfgucjfFq+nFFxTq4HVeK1qSZI2sYO4blvoK97q0NCh4Z8I
IdV7TJ8DjoauudSkKNgHte0RXFvzEJNhum1o8KLlF7r8yG7UpRuLAPy72fXTrcn+VAdzMwscdV5G
nL0XOxqP68CfqFZnr0r2bGFHcOidhti0a837OMqmV28O5xtEcuDuBJtfJqKar46folTZC0Mmoq+C
9NQvj1Y1TcSsQFA5/TQEGbC3uxSNcJdnFFM5jJE3dJP4e83XOlBj3G2JP6+lnT0t7g4iWNTxLY1L
i/ZsJHDCNfIKvTLhtWX11VEURHRLm5pP14yLlxbQV4DwxYrZKQh1MPEh82+a4YRyxjvfLxISWOOY
PfiDa1N9wk86alNtE5V0JxADGEvolX6Gg1NjKNbTtd2XWNXR9QII/FzdSLv4gVU4vP5gY6IL247l
3hYDQ3uZTne81+1DLXDR4Gx0yy/FEHWPICW2KV6lxyUalxcDO90x98Aa7se0AWRjT3X5Ak5JvJLN
xpVS9fpLx8DjPcu9AmGjj07G104xBY4wPnt5mUXRvDWi6O5LSsPeRx9dLWiE5z+KRMONiHPkDEDu
LiwlzhQu96wZdqM9L4A0pXgfl7SHgofP/Bn3cHSHqJvRcDMU5JFT7061tvyZxgYJ4cINo+2AUfqB
mo3wCBffuoJVkP/yutCfNwDiBOlEbnZ3qceEDGoirb8gEVtEddT4RHR++YL0M9ZbhS/6eWlM734u
potHtpeVSdwXbYCfeuTnNJqBXLCy3mwbROCBW3YJpCzPw1vb9vQ1197sISQ6+UmYHD6vHKb5NfNL
QMYdR/PRhjiBxGyH9lfWkoPjN2+Ty+wyIZ80e2wRaJ2gNuZu9NAWUflOcIVP/6BL8i2UOl7I1A4i
qMkuMN8rGi9E1FtBtCTLHpHT36KVMbwTYNoJxYTOJotME52/VG0I2syd0GmvoUfDwOcuhgWJ0C5m
plm5za6cY31Rlp0ztxIjQmhFF0DsE91DJPKG0Z2at80AGPsxJe2xk9JurhiW5QkcXfgQQUd44zJB
cN1cwp/G2D2adTGdaT/D24C3Ob3Hn5YVx2rMmBm7BbRGCFf/KkMEmxGPZ0Fj12yfZab6m7zJCENY
kvtB5k7+LYZQ9u3pYmheiNxZ7keJnQAvRQ+30Uzyp3iI3J8iNcbdMEQel5HYvLfLdLxOHF+eUdeL
64TUKgRcTbsbard/V5TzfByqCQta2hotH7IB4mRujonBrbCXBkxAXNzBKP3mho+CeJbg9O5hW0cn
wTXqevbD4n3qGv/dIF11wNrA9zzadvsLI4GH1paIp8HCc7I4pbdToJHOUdvWHyT2xnfuE8QwI9vt
Fbb6rNH0u4/tUcIe4ura54iKVvkVkswAzcC0cdRGb++HxjZmLh941PqQfpB0BL1a0cG0GWYsCuRR
3WrfL/N8FcdDRq2TY8igNVVBEGfKeN6q2m9u/ZjjZUMGt8DzOA7jO01d2MLiAshU3M/6yx7cQt9Z
mY4hhyiHlDQFYuVNmCCflTqZ71tq9VakUtfel5VX+EGHUgaPMvVIHLHMP5eDbnh4DTK77bqJQqu4
qK5jbtlkiu1U/KIwDOiXgfBhBmhFycl359HfCzGYZGny5IVndpYErF/IYXikyn+WruGe8lzVB6pu
/GefoEZgeS31KqpKozLIhOaOkwBHv0qGrnxCWFrtlmRLTuwnTOcUl7P9WtWmnIi4t1fQQyTkrK6s
rodubE49XLKHCcYGDRVxtsexyUpARflmwZ1zWcqOF4QyZLxbXt+/un5TfdEEtryaI474vG/wMiwq
36Zc7B64AjoQl22C/PC55Csif0yr1WgzDlEp54ZXaVvLmySOE3IsTfZacUu+YWBrnANsdnC9Tefn
Zx9F4s2ny2szJfKH6eT1YZbEnYTh8HaOHKDGbe080RuXAaYhu7Dx7ZpcTul13jN14Lrc1bkP9tel
V7mMzPGFnSdOk1S09YlKMX8X4+QwNxlG6qOY8vhaJpW+mmd4uYKkwiEMjT0Yl7ghJwNhoUpG4lCC
DC3L39UGbnvZmyLrDfNP2+rYgo+/tWcdw5KzzOEzdDt/x3Y5aBmMdmaN8GbZ3XsJ1vw4jrz9dZ+5
J6tXTw4NgYfRHx4tb6hfWxawh8FpCXp4g+LEgn9gHliOoj1WJA0f2S6Zr81ksoRGCDom+DUL7ElW
8iDWVd61NlixB5Wu+wiVVTg//K6f/6wJBySbmVOdXsKc0BWPn7DTxwUvIOQaGikDM8rBdvBrJqga
apf6QC67b0kjR15En/vrLHh8HgAtWQHFz9klnUs+qT6bsy2RFOMiq+QpNyPvslYRPCVmiru9IrJ9
pRH2KGdbyTi1WRncSgvzqc9S+5jmM49eFhb7yITbAdzSfiLfGfKS7wnIbeqic2+6wjTP2HMchEjE
ngkbFW2RcXFVWLCAETiiS6f6GqaRdesViXUrGZVxtZnjfdhUyTlbcmufGYlBvtHiGYsZWcRu4GE/
2w5hJfZ0PaS3FumKc9SsZi/wvm5xLLKov2lpOOo2LdeZF5Le7DiXvortrSCsIk8NA+KLjlpiR/bk
RC8NZx1PsNl9qL1RpFub6729t5oyp3bAUD66HiSt57Rd/FuUs/gSeb0BeiiaZ2ig87Rcq3ZofnTS
ks8KgywURo9lmVMO8qWTlXvPYWc5G9a28RsfYHPPsqNkhDbQfvjMlI+kK6ObGl4SJyrdClt/gWiF
6S7+8ulegio9Rl6zzZg3r0r6DCg5gHqC7uP1nXmsi17sbRTs+AjA1S45NWfLAB8CFn9D0rUhdGAW
/Jb6iASzozsv2UG7dgUML8d4h+TRPQJsWlgxMrNvaxZ4dzho9VvlybnewlUsb7TyggYAbh8QEmXE
mZ3BvFOsyd66bOKGFjvAm+66MjbRqZsmd7du7FAP6Bshqw6aDdHUARlRqzPVlsOkyVuZll3hU3Wl
uegMXugTmfJ4qwaFbjoKdXPQ89u6nKEuy8V67TrDiQ69NNXJn0dYMKmIkueKDel8T7ZthgeZVs4X
3rv/xd6Z9UaOZFn6rwz6nQluZiQf+sVJ3+WSa19eCCkU4r7v/PX90TNmKiOyO3IamJcBupBAZWWU
0ik6aXbt3nO+ExTbsspoUfhqu7SFLBt2SYr5L7xpjSWiMU0L9DA28YRseqkzsFdNd7wzdA+NDOpr
G0JDqVn9kaL0u7rL8iMJUeYzy5K4k/ChYbT6zmLvb+/HKWkSqqn5Gfi6BfUhBMPJ8hu3bo1MGgx5
JWf5p+Lnf2LS/0FCZmq2Trfgv26PnN7pj2DuaOufRGQ/fu5Hc0T9g8xu9GCE19kq3/6/RGT6HwTO
LYEEf4tK1/U/VHozNE0N3XBQSvFDP9ojmviDIBwBgs/QdWlg8vjvtEc0VSxqrZ90ZKZtLvYOw7DR
htCL+bk/ouNcH1tdGddTW+r9TgLCQt3dEBw7h+ZXsNiSabJbjuGNwOfBk1w689qlSa9YSrQmnBgT
U45B7yWbTMe5RtZL717LG/2bUUmCOyL0o9Zosh7Xl3FBehkdsHqn5a2oo+hZMUUU3KuTORS3BEen
ZDmjAWLQbubkbdS59HXPTIe69uKwdGx43JIMXdkzqOIwqDPy+HPqhkMa9REntuCct4H2xWZirhGj
6+gcks6Bs8lQRU9CRb/uOHuDnAoHU6Az0EgZH+pyuELozKRGLEMbDfjUoSX02PZqQc/h2r/MeXBo
qskd480X7HiTtgUKwpCosnTG2IMPGmSMwohzxVib8ZXZI4V188vkCW4q4nba9mbsVkHM0MlWMrlB
qs/gatIBL5OCEUfxTQO2EYwUaC1ZERSrqMaES62x+3QHOXdIDvVYLmkpAYs94bgmS9bEut5wPGQU
p7daQndVxRCioErw2mV6B1pbv4E8Ulxp5MHckixQvjaMAkXdLkesMSFCHY+1WOO4bFpAAdJeOWYa
PfNvQ2TXB/UZ84Bd7EVaMpicL0NKxj3mXTIxeT8tBD4fCU9nOiuKEMabRKAp42YoJLNPH3PTfDJb
+GukujPvdtWBvWBXU4I81/Y8dNuuDHwCfepxclxxGcraA7z4fBy1wY1svyEvXYUhQnc+RUVW9KW2
Q5jFuBfCfOLsVdCB5ZG5LXNakhC7fi0IKaRis9vW04xCL9bBrPP37WXG3NBv8zdTkvQpfFgo9RyR
SbAFc1FKRNBBOZKHGCop0D1m2eUy1c7CAj0Bp5PPovFJdeGpY1lXL/Pxvmbs5wmtIG+3Vrsl8J7C
rOLUTL2kMLhGWgO3KI5V46N0NDxQodaBdgqhoCAtcVDOQS8KioMxtEsGfVknVy2ct9s6ss7QueRj
0wB1RNRfKfug08KDPQxoDRstK+E+xNodZ7bmbXYmySkh4chGbboC9Gfr937dM5UuUsAND1EdIJbQ
EGVXbqeW032UG/NnFpIyS/lYE7IM11e7qTv2/9WIU2lY6/lc9jvE4NkJ4Xrd7kZgIpWnxn32Cu+i
unFiS628mgZF6fmqkxSuIgzzoZrCkmA6PZNYVFGEt5woc3EFfyEkRTyYsK+ilwq0Y2ewJqyaIDNP
dal1qIRwLgO8i7PorXUKfVxbE+wsqQVQNRme6LZXQNhcET7mPylz6m9nAsHdbCzyTwDWHeaXEM26
b47P8AIzt8IXaW21qs5e4Rfy3pRUujcI7ujZmVlxzNW0f2gCCcWXIBbWAsIAOBKbxhkZFkMx0zHi
XddjWcsjjfSYWO31bIfn3nzUsqQ5NtMQvIlED5313Lapf0uFYi0mGsbfW4d+4gYJQ/gxlgrAJjAt
qL6WYAsej7R6iKRq7MfZMskehi+urEJJK8D0LZl+liKsDwZFoIGa1J6fEIzm36q+6J1NnxpjsA3Z
cVBpMIhlLjhgie+D4TqsCmXvmzp6jT4o0uG+HCIfdRtzStMLmbAQmowFilmn7peHXpZptx0nPInA
49Qy9hIDw7U742VWXQFP/bmPJ+uGwUzh4nFR3rTAt/JHG1wAVpWRF2XloE7yfKUQwrPYBu1vmUKd
mrLob0U98HiGz3OkqB9tl2prWy9iJB9JTQR0iCu5QQrCEp4ZzKWBShG7SZAZ8lHO4TR+HJZ9yusD
4YUOTKuxI9iT3iAIbrPy75DKIwOccL6vwL1YMFOERohaSnF4q3a+ZSIb1pkg2ZYwlaM56/G7pJDv
d0GE9+pkGv7s2gFLjksETrYGM6LK1dzV3dmPkuCBaW2een0warSmjMgpPE1AoVo5IocVhJRxeHRI
Np1Zr7QImCd3PkKBZ8rbdKwU3UWjmZH4SGOq9OS0jLJ06Od3UaXTbWZtQDDFbBCmeshIVN9HTGto
vCFSW+esZrQnrWg8Jm2kEnxjzgqKQcTV41iUkdtTHzQ7XYlqf9NWwtkBj48+JTFczwRUklVNmDWp
1FU0f8NYjHcMTpiOYgcgR+HxEW2G+yWe91puJgm93yUeJoKvPoGHnHVzBYudm4ABFAd7ksXnJpkn
CoTaMN4xMS96rTwvHyYUFadCLQcorsmY0BtOKHedDm4wFXaQXY8c9Wg4hv3TgFHjkEykVW5UBUl4
nKk2Mk0bBe0pcebpoZ9Vu/aGGBkEuW1IW3aj7Ozv1mBOO3g7GqT7ECEJ7kZUjcWcDGRZDMFceDbq
QcL0xtC/MZlHTjuzi0vnPCEx61fKYIUnVFLOq1zIqLGuHKsLLNUCm8pxLlqMXqBU/YWqarDIeX6w
kFaJ5V4kRh9xiXM9WnisurqgWSHMgmkN9Nl+bhd2awOIH9UxPFfUkKBd0Xgne3Wkc8Qas4yIAcFO
ZkzAyNDFgTfVWez2I8Z8pcqtg1ZZqr7tF6xstgBmmf8gdtACqLPYx0IUOAuLFiqdziFU0P21/Pmg
VDOR7OoCsDUvLNtwwdrKBXAri3DejZnaMYGC8LgKywHZe7pgceOggPqArL/dtmEwHJULQVeVQ7vO
rYWrq8WRdd0vsF00IsGnOcjwNWymB+XC5NUvfF5rQfVGI9DeLFz4vdJa0AQ1axHSAWPW+z0DK/kB
IBD+pJanunLo4QFrCxiYgGD71tTnbAV/THtI0Sa+CY1m4bURV/0XNGwIwwER69mNbEMEoGG8UIiF
PhOINtklTrMLp7gwk/Ej0IEXD2Ye9U8FwtFoKwut+KyEoda3HNqhHusxXOuDeaEhR47GbQwCp5ug
APnlpwEaiIbEhaPsX5jKCuUcB7ULaznPjf6+uhCYo0RB6XPhMhfjwmg2oDX3TZkUB1FzUF0ZzjDd
TpaBXhIL4QmhWbSDIQnzORxrzIYXEPSFCW2ZIXzoBU/BbIWD7Tma6xAnHj6kPFaine8Mxg2TVLL6
snYo1sgEO4ZMJfkuahqwl1ODfNYmqGqRW+G6o3FAnhUiERZe+0lRCJJEXwQWam/nqczfp3yhYLPQ
Og+0SwkhoS1KhKBZ5zcd07CnbkTrF9MY0A4GtjnmboWVumkVaM9M4LQnSa123bQi2DppH6AausAD
xAUkoC5MgXEqy8o1EgDwbJCpx5YFfgBdvvHc+s27DlQEY2qfciYN9KT8Qs9UPWsXiAGkH1o+RFBS
cCjRlD9VATFqwwV+YEs7ZOKjivvhTzoCzVj9halj5ToXfEJr4pY0F6aCBlxhpCZ/18aZwLApvI8X
AoOiG6z87QXMAC0QSIM6L8CG5AJvyNK8i6+jC9TBuQAeFHOBPejlAn7g7zKLNW8BQmC9Ag4RLZyI
xqqM8dghPnhoLiCJSA/0++iCl9BNtvIQvPZdPTXBHc/+vJt7ZG4rAmY0wvLmrjszlzJdpzHKo5o2
Bo5ZqoIItIV5gVyUizYprO1Y7JsYgeYzPrEQwZ5Oz22VlTUV4Wyo2qk0qu5sDiOCs7hcwW+O1pUM
x4OaOcUaQ2Hj9k3/lpBJUm2w7Sc++AyrdohLEYLxodPeDQRjbgNIaS8l5Ik9wKE6cRm7JcUuIq+R
AWtmRtFalSEccLNXlFdiyjvlAJYJv0ZnZNbjYPQEcoHRJJwjq3tE7qltAfNho70OzOVwVlhNUrB7
E9IRTbhpNwW0Gb5CMb/Sfx/edK5CejEgZM21ud+lZ9KS3ZpGPb5VDGtUjmOJeUOSlPpAgcsKG8/Y
jAEOhgffKMbvmV9NGzlZ6b7WGPPuMICYJw4Ntn8Az6d/xEWJWVnjOONRZKBQCWcHgf+cgNsd9cUq
pOemqbtkWK+ztEJ54vCNEQqXGEm85mXWKmA+Sf/B6yuvmiRFGh9qKrs7YefBzgeNV3p9mG4GlTnh
ColjdqOrFENrn6Al7dA4RGNuOBGrhhdESsypiuONdDnkzgQBJfqbaNnA3LntOL+iFzIXjToJ1RyU
HDk91n6jmQSXGHCnIppcn31Vi30fdtprNubkU4ei3iUly/ysI/Na4R9lrUlaKLw53q9M2AHcUpBv
uTuhoi0Q7srmzVQq/yawYAFLrQ6hSNsAfAPyuGjkxykO1LotmkNV6KR0N44vkZQFuVxjCcCK1Q0B
IrEexrLuwggYb+ySLFs3aCNC1BBg3MP4eQwXZPwKmg1T/RxbQ1bO1gYFHDBi8nQOU6NBxzGZApSA
h85WD1KorCUppOzNpKBNzM3u6gUyYdSdtSApo+Zb3Iay3cC/aOud1eYLJTpsP8t27m+wbMGPy3QV
upsANsEmDar73WwH1Uv5Hr5Q6M13uM4IiEsjeYVdRiJUDeiMkipyKvr5GFiOaFepwNroVhnaCVN+
awBEnRPyvRCB5tidQk5JekX0ZwyFYOil8Qz6/5PHDY02lv1VJ6PPtI+yPWCGzEsjLKhZTIWMmeza
zJTykImGC+qL8myzDW+itg7eqCkyyFrRJO/N5F3VBV5uniMK/dzwogngIm1LsU9ytbz3y1bd1jZS
VRZOrygaY6tFufUJMFDb+Wpt7g1iX+fcZm4qOwIiSwbRm5ge+H3NuBCOra1+OLWZHxmMDu9Iq3zP
9BOUnk47qeA4kkIGaxbJ4dvcSYhpOVl52DKEfSDHmKKrAi2Tuj2T3XeRSHtaz7ISVxO8hl0xUtMn
aOu2cVwOO7j5HPf7MjkPxLVcMx4V9UoM6XQ14KpzVvbQzt+nuIF5mVBBusLM7IcJDdDVpIM1kE1u
ciZO0dKVierpVPLfU2WstzVh5Mtm8lI5+Obod4ru1EgW0VbGReyWhhD+NiucYIfraFuldrLN8fUx
SilpfiSybB8pd4nSS6emdMfLmQNps1che/iyjdBBeAsDGoHu/KoB+7/LC9yJK2hMDfP4hTGaq6Sb
RILlks7NVhTpftCDcktkpLzpEmKJFkmp4uqiyCl2lAwmY4d+j869gODO+bSzzOplqFUSCyY06aqw
xF3qmO2O3vF4m6poW0e0D0w68+SlSg31BTQdOX8dKayo/bQ1aCd9U4KKgIoy0Kkm5oCKRpzDasHL
WlF0KJn/VsyWdsZoXaNvHVwY9eZxErpGIeXMDEUNhthYCzkj9xFWlUBZ92zGG4nD3cXalV2xUMWg
N1r7GUYXysWgpp/PfAjEoBY8YCMDpBsRl/Yg5dhshqYAEFc5nbgBq2/jw4jldBpILlqz4qIrMPJ0
M7VBdZjnoNSPoxaX7ZpuGur3sHlV0LU8CFmRLTpWc/M49w7VXpAYDK5idQvoVOVbnZk5YE536zxo
11aDJ/IAGDJdq0M4eL0QgjpnTqyPMU/f8XtEROmRKkl0cPYdIq6/ZX0o7qp5ACUW+cp1asCQNH3g
/DEba6dlOZ7KsCy2YhQ9GsQRinJqXZfCZ/Tbchxo6bJzvEHYJKIjxkHy6tTa/q62xlnxKbvJzpwp
yPzpLM1JrkcGFq4GwxtffE//SCE6dIzbPXmd9KYmEsKfpJ6JV5EAdWpwdPZBFx2tqmVyyXkDOS6F
LU4VMX3MUWo8MohXv4a6UzgPOOIMC3wbSzG316UyJcMp7Amq5d/FNGZOv1VC05s1xLVxR+k9MX6N
s3PSCH2HNaVa19AOp1s18bFhTDiF7VbzV0QBhVRSwFr1va9aGK6SGJ0XJpuhu1UNaDArkWtsev8z
Vvi/U15aJPT8bqxw9Z404fvn8P17+ZPu8s+f++FNN//QsNtKx1pmAKgrMWn/YEYxO1CJ1VFNW3DS
prn/L2+69oel0hpAions0pEml/FjrGD/oWMv0vkTR7d0U6IL/d/e/POf0wJs/bj8g+/Fj//9vxC9
n0G+t82//9svedNILh1i6CxL1ShgKXMXVtZfLeKiGPywBsfmySE7OFmzdQZIJUFWv7UNgZGmpXrE
a2ArrLutb2MOxjL2RNWkXhVN/2IM8WtX1teynqftiDtz11btGQUDvmh43cDWlcjDFGy6tUhfWhuI
Bo3HF4QdntNPB8Ohh5t3ElFYyZI8xDd/+Tb+k9/uZ0Xp5ZezDSiowHsNiwHML79cDFIQ/UhhemMW
0xPqNon/ldflWZXWn8FW/+V9/PWTTL5Jgdve0fjLBBD2820MFBwKfZZh8tKgJKHgiHPlamo5+7B5
/f6XMv7GEzAZFWgmuduG4L+WQKi/fmWQX4ZMGYgiz2X/zfIrgjuy/LmdFh2Vo+39vgDmTJ/BUytZ
elbfNa4qTRz1QRVuUfu1u7lbTpzWK/+vhzzPTgqnd0+I+iVQhiO443cdw6oopSdk8VFjsWLjBhtG
cs7VZAZQOEQ0bHxDhU3TNXsGzI3b9sm4NtVo8EJ/ons3v1ZVhP3KQoWUYGH6/T3Qlm/u51mYtB2w
DrpEkcxSydjtr/fAF1aISIg0mcK2tyHIPi0bYauG7aaE5uUUL2UmwZsAP2U1HBGt01DIPlPAMb+/
kMsH/XwhlqYx+6NhaqJd1n65kCkcxyALyFlLW9S92CJB9yjWix00wF209FvaJUczxqeUpse6mx8K
MeHIjq0tjCUwno5+a3T1PYBPdDzE8wTW+xwHb9mkbRDO3f3Dxaq/3DVLwp/gPdClalmLzvvnu5bH
NkGf7RiuVXXGGU82n6UOD4zs7ytFnso2emi6Yo8MbjePchtV6hMYdiKRTE69gOHqmUxzbV5ZqC7Q
9dEVlfJhKIkO+P11/u3b5TrpiOu2RJDuCFa6n69TBJWF389SAJmm9yXg5A3EnGFVDePNILpjw7GL
0h1DlSkhgib1/NZX8/2U4X9ERfz7i1nuyV+/4F+uxV7u6V+Cz1RZElwBXZvWI8bhEoGRo61U4hYR
7SOb/aePu6xJv34eiAM6SHxTlq7+8kBZDEbtmerNM6iLEI2XJPO1NTDcgafCvNcQbkAZzgqvJ/yD
s5AVnXEk7/FSvlkTCZRx7DfrYMhAQzj5C7ofF/LGJoubB4qU5KiHhI2j5ybmSES3Dj1I5o7OCprs
ld025i6WzHhKDaRqjcVjgpu1BglxtB00SArm/bVpVldppQQbHwDPMqJpdljxp3UhALmJjFMFJnBj
3Rrz+fdfxM9LrMW8mzO1rkpm31JjVvrLQ4HnkqkoY5sFwYcKMdjE5TVzVDohp99/kP7318RSOQlZ
0I34IEP8sm0ITk14zXmnjdg6Rn3ynXEFSlS7bFxmPB1svvA5Hod7s5r3bTfdEUXx6tvZgoXy32if
urloPgML2oma4G/VH9q2Pi1u5d9fp/n3R/Pn66R++OnR9B0r0FF0wxvhXKbBXk0wBKhx9uKzQa8s
te+9sOyjVaiEzSod81M9cn62y+olmMlKKYZZuWaEo6zHsTJ29Nv7EyrIDOT0kOwImvS3QSXh/QJl
e+rwE7hl1V73BZN+s+xQ1bb9iOyR6WHu8MFS7UEAzowEUQxCZycKY6VUUbZmxtlB5CqexzZ+98NS
5z0aprdJdE806KW3eBe/MgB2IN1QjvldFRxzWcybJEyffn/P/v4QUe0Ik6qHbRqD3C9vMxoJyg0j
d4jf8q+ZUrMIMjfgVIxkfPP7j/qbn8WSl5rDQjFlmJrQftmnORhVXWMUjtfrs3Ho4FrPUWkcS7gI
TyFhUqsUE73Mp1MTfAUWUvPCaOh4OWywQ1vUHpoFyZeCj1Fzpn+4uJ9JocvLZOH04a2FmMTb9GvZ
l8a9Rvcp8WGGpAdEC5ZQUJY+/sMd+LVS4VNgMrGIWXyGplu/3IFaTyADQCsAIshwb1ywdSQ/ki3W
bnGYF+QpdHdDUJbvaSUeYzr0ojHWQBxJGjbzbl3NGV6COso5TI5n8IThFdELpJ0yMfyHguI/u1KJ
v0ksj8VCfvr5VWqRsYP4jXzPloQmxhGE0ZgJSMiRLQBeCFfb2pC7c7ShK//+Ji1Jrj+t95ZNFWND
TxfsyuLXxaa3s3YuyL30CON98geLJQb+GDNMg/SzfupAAVT/8JHaf/aZUkOVZJIcygL3y/fiZJNK
podwPCK8t5muaCs9KsdDaVooISNK+6z7Fib9YxWa76RfvusAalxf+UDpQFScUhTX9ph/xTA6tcJy
o/jh97fE/NsCbIPLItV0WYQZKF2u/y977qhUZCnqreKRs4vAqN76sLj9mNdlHkJJ2u2cYthqt8Oo
E5wdHrpZviEuH+ky+a91BYqetOo7fei/4jDcZKOKMKZA95tE50Em2zIc2KqKxatRfAPGZa+tjiAV
aID7gj+eS3M4EFVAeCH2GBqz1SYRzfcJjWs3ma9aE3gg/za4VTcmapp1byBr//0dsJZd/qenAkEb
xxaLIpd3B0HLz89jDume00ZoeU1vPdCEuAWYt7PynrBTEF1uSpd13YjwVI4BaZQ+/wQt1aqe0mbd
Bs1dWw93Zh2zGSi67aJvdqHJs8GjRLEz9cXCietlDgRRzUAj27R0TiYW72rAPjZIbUVD58oKzMED
7vdu0ypDw2Tf0xh81fTopAWGR3THvo7ZDRANe4MK8GTu5s8QkorX6dV13UVez4VqanZDsMnVGMdX
CRYk2kfivUfdo2A6ITVw2LatPBVKsq04g6xHJwHtnTPgMWllrUe6YIWiagx6NNxh2ehNGgGNoUmC
x4gcgT866KL8NtTBTZG+WLND6sn3f/gq/vZNGJTLvJoc7Rb08y8rQydzH1U0dHxDRwuwExaanV2F
+Lv4Ufr9v1Zv/v8Ujkx7w4J4/Zc7vvADf3ABr9+z7//+b6doLur37Kf+yf/5sT9bKI7xh2lA0Fv4
fcayifzZP3EWerZuGybwPuSX6tLb+MH2001+Ah4g/zFUwY7/r/7J4lplWiccLHEaPyvlf6d/cjnf
/eVFtYWJfMnBw8VmT6NB+6WgGKHa0IVnIpH3yJdFkpf4MqsMp7l2bdSNs0fU/8r4Y0QV3n3XmdYs
AFLjH9YL5wIR/PU6dDZaYVGxsnD+UrMaTkBGDySJHSStdNeSVmAayaYAaN1dheHRxGQqz4QjXpOI
CQpEcHDRA/8Ex6NlizUeusoiBAD7wNMcXRtqfjTisUTPRwvaxxo4SOtY0stYDT3qEdHeTt201Xzc
mrQJVE/tHiGcXk1iYNCbr+OsOY8Jh7XEP+hGib5R4kHJns0suCFvCGmWSB66yGANI+2CrajwVKtb
2g09WFo1qIHa8kEeMJLJXBXRSwMHwJgIKPOnXRwYZ0b9HMCWEGJubGMY7QtyLBxItKA31MQrRABX
GKDopoeBO+ksMAWkX8Pt7Wclme8Ykd1jAzg0AVYRwzrkIQ2bZJGEV/fjKF5tLEswFpJrtk/IZQF0
LMR0xNWJ6NkpsmuUkAc5iu+E3Oxs9U1p1Ecr4ONb61SL+k762lZnyKeNijfg91vpFpchHd2dumTd
TulHkfafUWXIXTcbGNcS+UXX39/T/kVqMEMhQwRbkaw3H1ttOBEb3XhWQCdjwFVnMIrK0mBfq3cN
fTZ0aVTQ5nBfYZvQVMYZwyrmbjkJuJFpDUkL8hfjVuMxs+2KhEicTM19lY9ffWbvx0Z9nXHZTKWK
InIoX0gi3lCkHfWKSN1sZJvw0ThYzuMlAkpsODiZIHKsDJpyv57U/jpQ/Be/JE9LGne15cAStrpH
hJzQ4j6LjGgJtYf/g3GG+btXjDObTiuMda1jc/JTzxnbt9gA7wf/dqWOrOI8mlUoHyNcIqT+5J9F
hQV3CjOvaKjJdFVZZ3H7TW2pzXzVp1M/HVpJjYj+VECrijPtwcyerbqeb8A9JM/9nB2bxLz1R2Bx
9jQ4K3Ibhj1dEppjydHiNCCrnHzf5EV2/vdEKUgmuynFY0NULi0dZUltUpHrWgwCh3nP4OXZ1PJh
0Rp6gPnOs29d9eCFIe9ssLkibwJ5Up6Af7hNHUKrMafiykQH1qEM9DoZnlum7WswjzsODkgg0EAw
REUOaofnPtCumMmi/dsT6EyaHsYuloNzFHUIrvzxuZxp4CXyg4H6Oh7ydJUoWn2qHG0RGxE2FElj
PY0ttVP0IVJ7UyVnU1PpsGq34DQ9rSD4F7YiPrpdvyRPtihZ5lk+K5HvIkHb8mhYnhrq2d4Ax7jq
NaC/PtF6ZJIdQh2FoT4/QtQQXgXJIqKudfGfrOUsXFwvWG+giujNVtdHN59t60gA3prG4zfZm2fN
j5fXSb8BqU47pxU3pErtx8R5I9cWFof4LBJtH1fzLQUqDDe9yDZJmnMUVYel6RBvCgs2hVbHdwve
FvGjehMwt17n2rmWBHA0KnceR1egKnsoHKcsygciwIyBAJp+Y07IvRUpzqL2b7M0rlYT4rjIzrd9
CFQsEqG2YqX5KKiMGRA9Ea7Gu9LgJ4+TTcoEkmKwIKWrfkQufOPn7Ws3ZeWiEA4BddhP8zDdY70N
vNE5jVZ7BBkFs6Z+UBXnZjaq1zbF1oknh3njFYnDr9WUPCeTlW3bkt+DemZSUAb0jG1JPribTOXO
sbk9mVYh3SefqMPD2iX4nSqz0DFJ1zERMcN+UO2dDs1yrssvI8m26GbebWy0yIz8fV6G+gl4Ciq8
CqSKVtnfdd16GhcgVJEQsTpMG6qb0g1NakdY46AxtXxnz8673mHnxrvH88dcO5UhxLZYedQL42ps
pmbNG3bdTtozWa0fk0V2nUnsrqtmzXsM/JvzE4bMllRoxz/niv2gDPaV2rfXs672qwa84rapk5Ne
BPs5ML9XgSJWah2khEs3Vxz8djiETkk/bOpE0r2lVwEOB1UetiQbtix4T9CAiGkScgqhbmn4AztT
OaPBQeiBZx6hnHIyVcBZUUAEXlFumzm9U1vU96iZbxvUtJXF81Db3MlkXUvr1DnGvpjNwwAnL60P
MlyiSe1oB+dnpU7+QYrXzkgeAYFSZtZbuLh4VImcLViE1AKBZ+hv0Ul4ZfEWNvl15ljPfa3tSf31
2tQ8otffDX1J4zz3NIduh23LvRphokuInkus+8oHod6auym6JlnjecrC1TCkO4cn3U61FyjNN5xp
dgkxythIt1HrJ55o/B1gLJKO+/pB+i2YkO6idEwOsn4mRoNw3m4l0SqDzt4NaXelWVfjTBqZSYg8
8ZK3ymyc4Dtu+nKUIM955RVhncUYfi+nY9BbayhGN+H4lfXztSrkJo5n/HPGV0vQ8droYg+18JH6
Dd1B9IUS4zMMzBtDtteGrHeLPFedhrVKutpK1M6LHY9Y879aobkIz89LG6oR9bWoRl7C4oVX5Am8
3cFK33o7ISs6h9sWe+gQrjq1uwGr7RqFYHnxwxN9umcEY7c1rjBrGK87WpRTmd1UInvLAiX1JsX8
cKwKm4uO/mE6WUEEwyk2yMPT0KoSXqZ1793cvYSxs07FvEu0+Ntc5x9MUo+hcrKJVchHnehLkGMy
LFEyACRL8Yngoxmiez07GCwKDLeRsJcEfuGud822QxOYbQfjNMc24oP0RnWi773dr400IHjBZ/8s
2i3OXZK5q1WYqKciIGA0daqrwExuMdG4wyzvuqwHdYrHIGtfw1OeXunNY2wmnlEpm7KJr8u42WnM
9VdGHz1ZkUUA46yv8dK5Q3y2Zi/vrC0JYMSwNJ+mQ5BSlOzGihtIAJiZIXuTsJ4dzO9Bw2l6jD1p
yad6rD+cqvPXLZL7FfygJ1EpjQtKb3bHOHtEK2PeDrOjufjHkfOqKoVNUURbdHruoNTYz1M3aQGH
5aY4lyGZ5fH0Tfe756ZPtwoEVrju9VOdlHjn46eYvAAB1UTqcHmJNZHzQ9/qy6yf5GoyBkR2V5Xk
QPrNdtKILO6ZEganfhCOO4TjlePwqAMLdIavFANBF922lXMYMucMVeImbg7odjw8l+54N87hpmg2
oSQX2i9Aqen16EF4Y/8ArKV2dx1bkTeRpx4P29l5DCz9ORjUO/AOrAf2NgoekijZtobYdZF5nmFV
l3V3NarZba+dM4MHCFXfHL0pZISPFf3ioiNmOv4YmLfJQb/CKhLQDh0PpOZp7lDJLyd/Cnk3pyI4
LMfbuC4Ql3KQKCukR1eRNgWr1H6QnMlts30n2xVirdN5uDfByFA/dIr1TB5psZqqJ+Ki1zjD951+
dFC34LsHkEBJOmJmISr4XsseerEOCoxbbtcklQPkhIBWElceA5QEbo6fiew9ZCUWO3KtNvPB8vPk
VNoy+6YILBM5Gu697yOsZZl22hcxJMVThbxrNUeQcEkfmb7ytrXPTqzapzox+s8epegagby6FQI5
FwQHv3f9znZ1W4wMDIT6TeZpeGsbmTyqVQCsk8U+26GnTJ5ADdrrVMucu7k3lsDuNnzLqIZ3aVT6
WFIUoa1b0DyHGIp754bg+tapAd1nTKO9Zk3BzqpN9TsfaX8jqXT+wMKl7jIxtVtfjTUgxDVWXsjS
N3Y41Qc1j7Mj8en1Pec96mMKM3BxxEXeVlliPNhcsas4nPunOBz2KnT0Y9Gbwb6D9bCx6oA9DhuV
50+avQ8wFSSrrE+dbVeU1QnsdLBmr0HQJJx5rzhlc9Jzyz+kddccHOCaTJUUjl5j7XDfC1meWoyA
bq5PpwIbCvXMpJJxRP/mSa3V6VtZ5P/B3pntVo5kWfZX+gcYIGkcjK93nnQ1XQ3uL4Rc7k7jYJzn
r+9Fr6gsj0BldifQT416SQSQkku6pA3nnL3XJvyRZtcuwtN174xz8WUUmJAhh1V40QTrR2LU+SYT
r3sH6OBiYe1VAnekdW9ukKinQJjTY0Oy5dUaavepdwCe1MQenyfntUcsh4mt3gdzOz6FheW8GI4z
9aucAMovrjSISkdytHHmMXuse7+7DvHsXyYOzK/Kjf2DLjqJYH9El1/P+UOXDe2Da7XNfdZZyVGD
bKWGxMkQRIv4vZDdDqlVtI+416/Qm3uEBuKNFaFtYSxM9D5QKLjIh2RXSSeIMioK7VWaDdYaOJT7
JroI0Rnb09cER/e1xH1ycCAanY2ZKHZvziMI0PFDgahUdeskxivet9l0b9sTJ2mpp/4ZtvF6QrDQ
THoPTQ8YfTV/ulliUPE2YFvLsL+Fhvci8/meCOUvXpwdHFcfVWEDFOoytv34YHjjGVr2lqjTRejl
rg1TRhvHCNBNcv6a/jvKvGM/4Z7pLOe7h7BbYHVx6nSLGm/dR+muJQor5+a2BBC7I9htxCFXGTnm
Pg/rt9EubihijzFogszpNqBK1yoR/Mbdvk+vtlm/WlYbbAHNvKN9hDoYgeastXfrnf4lNKz7cvKI
JGEnAsVzmUY8auDUZRz1x9KCUu8adnbQOdoBMAr3k+xWi9dlTQ7VNqjUXRUPDXg6LuVNHK8626EJ
2kIqNuxNCaPrDRzJCm0qOAZIrIHcQWH6WebNy2/9oYf/aGr8RbPi/bVbLx1m/jgrXWpNEtcsUl3o
2f3WH/Ygyyat65Hbnr1R5sfneezG+3FgsgTLaTqZXl5dxyKaH9mf1NMQe+7NSprkvgYVNawaL+/f
ZQp9h8bectQsqwZfRHB1l5WkljWVLqurWtaZ9WvFLWuvmKP0eRA5DZSCpdkta1QuqxVG0XzKlhUc
/lrMYySaEyFnmChD1vq0rHq5rP86ALKr9Vzd0X0N9gM4GeRqwIWPSQjRL7fq8MFmnrQrl73FWnYZ
wrWHYxSy85hQUjDbD+JGJBj7ktVwP4+Uap/NpGiezaLRzCe8+lTONb65mWosWHY6e5m3hMvu5y37
IDE78tOICuuHveyS9dTGR1R1NMMrtU1/baZoCzHax5G91b82W6LChsOUSvU1L7lnAMAJnpwkBbkB
FeS1F4qCYRgW1rIaoChMg3p0gsL6DAPcyroCflsmHPK/DoGiS7HiLicDPp3+e7icFsVybpAkPP0k
PBGq+nKq0M8pXq3lpDF+HTo8zeKI+YYc5OVMksvp1CznVOhnanFbXYrlDFPLaWZxrKH5QGYr52b+
TpPwvBDuagSyVvM6kJr0LskewI0bZ/bb5Po0tXRnT1+GYCQpdCI/YldGNKBSMj22ndcTsqO5wNlx
YEOPysmaWDCYEE+2dmmra9nz5oms2pUUbQfPUAuDAQf1h6PdrjgUoCcpborW2jWu6dcbwl+Xnygg
naPdgZzJOW34C/wlVwr8TJE9FHniYeGy7bNO2CT2YKmoVz3L4aZA+GuObxFu2DdhAvgXWRBu0JS6
1U6FgnsJ1cK6I9+BhpfGH5wQTYCOtRy3fQWjjGrzMBjOl3pJIejMnkpi5l458/pOGfzUCAcZfIYb
ZKRb1ioSAAeSimYj19fBzNutpGD/QRHzZkjTvRNdEGyb0nnpY66ePaaOrQkxnR1WMXmoouxJkmFx
kSB7thz08MbMNL75JlpvD57NadGQxFZyk1WsCDQO0kPuc83utHmKhIXrqUd6svNGxti05dJNDyor
xhh7kFb8E7pLihdmVtyK025rW9Ol5v6xGjRfPvBirBO/f3c7qzjljFt25G3C9KkLe08yQw1/ArhE
Mzt7qQqsX/mArdOs3B3NVNoqZv0Bg/CReyHpSN5I3Kk1vJTF+FrYOn8eQO7f2zJTe6freqDMXVpc
cCXjDkshTbTTRBSZYZHYnXjljviuGUl93+x6m7VGjopDgjgjKAPkOlD/5uuQ9z6JaWn8Hs85jisg
Ytot6z3gsnavA8EQjCQXXqsYEJDW47q2GiDlJfZ/courtVnSX4R663A6BpqrRWlSzj+41YR5QHBj
QqpE8IYMC6xYRDIFE1VruNQDTdDf+D73GAk349hlmv2C2zM/Fy1wH7sMkPVy7N4Vof/dIoXtltro
aOXIhmJorLx99jMR3k1pz1qPVuyvbCNyrmWBThy9uk1ho743IDJWxA5wtFeNRkmUW4yc4m/TZL8P
GYzr5A4VCW+EHa+h0DzMFrQTkk1+es38RI6cx1W4A1eUtZnAou3bW4qO6NrUdr/Bl8Y4xlyU7zmm
v6Jw6ufess0XxmqE1vrW51iYYutWyYtfZwerZuMyhByojMuawZalLpEvzpM/QC8TrK+x5pAgVybe
0JC+9qFrLzT9ojrEbV8cFcTpAzkp8ztRfRSZkSBpdkyJzx6xH83EN/bzV3ypeiMCR63BmBhrB8nu
vY+O+YMsc3EERW6e1RAkx6x1mvuw8NsHtCP5AyGDIzHTgtuTXfk4K7lR9cvdqlpuWWK5bw2/bl7L
Hcw2Wv+IzRIA4q/bGTuu8yKXK9viQdh3fOK/Dt7/1wOq//8yZE2LntjCI/3nhJHrR/SR/Z2/+o/v
+3OOBUvVdoMF9OAzfHc9+x+jrAW/uozjUQoz8TV/H2V5fwCEc2jxeoBGWHuofP6UAsNmJb/KC6Rn
C8/ln/T/nVGWvSiRfx86s1ujlpUM3u2A1hO5V3+9Vs2yoTU3Jfo4xWLCbvqBKiXAblzrqwJqdSHW
3t1AEH8pypRhTdoZ+4qO/cfouP5dIhHljVTKievli6P1IRfs8U4uXyJHB5usDnCfdUvuBNEYJK47
/WNfu6RhYI3aDGWXPTcKpT3ogpo+uEPvp1nbjXc3NTi+pBuDfEjY8PrwsTNGdDOagybFYSuS8AVT
sdzVSE2YXLsX2jfeBzzvjEsxZ1Nhs+vIYL7L9KzX7dDS2Mgm3C80UDpDDpgjenQ3iYRQJVn+nIFi
U+kyWY2WvwEHZWyKYHhEDIHfHTsrgSZDqS+ajIOpsZ9i7ZIPSCyq3dGeLeyfeNvHk6HCpU+Glm9v
q/o55rO9LwA57vrZKPcEvL9gIll5xnDpsOpsgrYUl2TiT46JSsGdu6+MEFw71aNwEfBKs9D7GLJy
aU/zNXzFch+vmgqQp6q6k2Op7EqF/Ip5epNVHc76zVRprJjEjP1sSaLYBB7oamZNoyTKa0puFWW+
KrUNz4iGdV9yQeBqsSGV4GBM3aNhuz2NoWZ8geHoHoWP65528CZOiy20fj4av4qo8yL1TFr1kxL9
t9BdTjLA6LtxnOQ6KYibcqHH49qCU4mZryTIxUj2siUXIWPWe2TmNYHzLp4AdWPXtwQlzRJv/mxm
JGjRisdp0YJ8vx+9OzyCL8JMEA4lXv4w1NBjgU7fYcm7V7QU09R7i7LpmiUI3NpudPbJgLKhbo7G
zLV0jt6GaKjPY7yd3Inkk6651nX7M82f4cjg7EAhxWi/zNYTMMBti4ln7Ncmud94ZoSB22s2VyW6
hqk3L6mLAG4i+FRKCa9wWoZoNIVf7QzGQqm0sSHbjJ+dHCvSWeusNF9sYLJrOREONAIXgNqucjqJ
crD2FSwu5IUfTmhQxljBzywJ7kQ6r4Dw0IKpHgRMxT5PNjA+nupZWV/62uR7YkyOThfI58DLgZuH
kDftiZJT6Nq4n5VwH6xhbndYqtU+F9L9LJ2qO7d1GoPqwshFeLwoTyJspnPi1PIDm7TCppRHZ8MK
MJxadXfMkjB7S+D89YSYNvFF2co8qiSqCV6qo1uzhGfxqqIAJ9DkC8CrArTtUDwoT/RH38+zr+kU
+s+zAwY0M9N07ZW5d1ZeEZyxvXs7yxswhlnAEjpjHsmudfRtbuPxhou8OyVmqV/AdTW7qkdSuqrL
oP5oySCCx6f6qzME7l3gOuUl7eXwSP9fXGHDdqfWrK0vVkLqnR8VI+RKqJ4Vns1jDYbjfq4L9UM4
I23uBtb+95I0aQ77nk99xo97B5JguLhLsmwWovZeF31vPkg5mk/4aaurRU/iotNCvUw8LKZubn3h
VfEvwhhg2tHYRRZZx1y/kXPtLdJvruhKIjrD2HmSTJn54bdT5r8rhn8Jgv9r8i8dRHw27XVOAYmq
wf8lpv6tGE5T5pKimaOjjKKMsO+66I9J0zfXSuT0MUKTIAxrGNDyYnK2hnTeDIjOtu5oRFua1S9e
3xi7TEyECvvJcqXEwrBxo9jcUWw1zIXi6AsZtciC4yJyH7zcTM6tqa8kMjiruArmh9KzcHqHMrub
oowHVakXF6DnqkbcfWjGHoaF1bh4r91bXdOV6LoBeEAXyWQzTF14K4fBNvZAM7k9Nf5ckXSW8w+v
7EExmPL8ctrnswq7dYOYYtybOlLJtg+d4otBbg8GE/gpW3e28hfhK/mlsaNTk7UkdtryqfONfR7D
pZ4Yk0ONc9dV6+cbMq0RuOv8YoiIgYu2Wn4r8VSO7QXkMygeX67LAspsD1LVyOKRkC9c7KnFfEwY
3bz2hwTzGCg4yof+HNbFxUdCt7A5mKQ00Q7Ygb1OsNZtNaJopOte9Kl6dzjl/eDsjAgwKnUOGRZL
1AjD2wyqaJo8lTPKrLIDydHNg78HysqrNPu8VTMapctQuvTZyNu5gPwLgGya6kWBmLhE4EmuKPrM
p4JwjweVInIkV7Zvzzzr8UIYcXxHok1wZ3mC910OqvnuR2hWCL4Q6ofOinw9kj60q5eVAgPEO8tl
9djLOuqWFZWhxTupcBTX1MjHx7KKq4tj5pzPqiFjfuCoJHmi+agmzQC/C5xmly4rOFjWsrms6tBP
81u/rHRiOaMjg7phVy37QLzsCNNM66B0kORih17eg0o+M/XMvjLP7o/zsq/Myw7jLHuNu+w67bL/
zMtORGBtfSAMwjymVIUX8NdsWWNb64VZ1R1J+A2OZTtEZ0waisrUkx9JZk/nMsT1C2XYfwAqxcYY
8NVnLiDeJ8JWtR/BjjIWi70Hvtq4R5YMpZUW+jaOPd9EzDEt886wlmhQcPzxeqAubXZL5g+KStdP
hp0PvjjBAQWUYo1sroaR4ijdX3NQbGvYxS6ILj9ocHwG9IaZ5wRhcsrnJirfIEvWyB3ctGxxE4m0
PYDV7KOLDZJzJAEndnBmtJJgJoHQY2DZxYgvTGjmYGGUmqIN4Z0V7abZBdUyuu5srmvH0ws8MSn2
smrFvTB6+05Go/s4GkiGskA02zpxrKdmrl2AA3OozT3oAkzfOJwAjYcJ5CyQyuE36AIkPssgAxsF
EU0Z206Ts0S019IO9dk23+csA6E+q9xibyG7JOAVIzXwUovWfkrbis8lrx7xY8LYTBKGhM1Urls7
h3MjzV3ity9tf/GYnG+j0IRaHJR3TqzMFcpQQuFiobB+IFpAOkSkTTgtMJVoJAyrJMHcgewEbf1r
mQbDbkqGTysX1VrWYi2DyX4IzWogP4Y16jX1t9j/hrqAFDo7jNlvQJj2LceAKCoH9jv+VlXQ0LKe
EoYSG1zPCBmG8KDIWFzjlDO3oG79c+uNYMaLUK/jWJxCSShQ2nHmxcRUwf8B1jCXn1gYiJGLaCsn
UylWtRoeOM5fZquMf7rOoI5NR+9ryIr5nKTtsBqHon0l33XaJFY1/aTE4x0EyV4KpCWtmaAEjWFZ
/k+d93+TREwF5qEu/OdF3u1Dx9n/un58736XK/75bf+gSGIYQbhr42DC0ylQHv5p9/T+sC0Ak54n
TPmnkPE/o4gROAa0sWlEUh0y/aIw/Ifd04T4xHc5yBxdQbn379R4f22cI/sPhM19QUAYh1Rl/r3C
q8GsdLym9TaOSl5iAIqpUX3VDqm0NVUW4vqT04zzgRGh+o+X6p87JP9mNfWZm+EDcJfLCiY0/qK/
uc9Ggx7NwB17a9EqP4StB8C8VRM6jmZctaB1V3OWMChterXvSjO+tIVlfubMaAgsGulDKpolACTn
ebz2roSiOI/uOa/ncVW7LLmqZv+L0VzeibghzaCeUOqGNPMn4Asg7+rSf+wD02WqqSXkJhqPQhFG
j2CQf9CfC6IXxsG6dwoLgETnNXfoBaCRx2kLqZL7xMJCalcuYJir78zGzTIrEgpKLeZHPB32xZaN
cfNJ/Vt7sgjuIWTjlSN3+i5KzXwfG8b0ksREnxLFla0Yj80rlXnd3p5M9xyk9GEXVsVxXiT77JTG
ojsjoCk9OH5lX3wXxeKmNuJuOBrAHgTxCRj/92j2senE5JnW0FogcapJfpWhg8whpTn9JAIQkutG
BxTjpPFCgRbTYaL2vbRUtochrZR+BNzVQ2uZzC+50zTAEl0jn9YmkzOQK/YwvA9RBD6dYlk/56J5
o7nscgOzYazZ7VnmzjmAEnEghLg59LXE+F4ZX73ODO7MzhkJr+9on2Zd0zG2SxNc9B5J88jY9Ihs
o6xmHlaKkEeim8gUEnwb3BKTukoWlxwN8FFloz6IXg23iPhgrkXUrOT9zbumkcZ27njcjZWaHwSs
ERadl00IA0+P+xTllaYmuQQpubsphJ47gda8wKqSg7tQBN8ajTwwmky2ASuHfMa2sy5TPKhyzcXN
X9fJEJY7vJo8/lrPwPBK5whBgaxmw4bvBylrA5y8eaOPKN/8FDVHmTDoGSP3LC0ak83ynrdRnK0r
ksrvBLOiWw9ubaV0127QbzSImPAZuDooSU2tgGHwBJubb89ErGHKTZ8xkwbWpl+MsFRYAcDiDVxI
q6NCjoevieyEtSs9aRMw15k5POgGyslWWYOLQ2GeCaMVg+30Ox3H81XmvviWO2H7ZIqc8auftNl+
yuXEZCv0f8yRXSNia4KXtm2QrhKkYHxNYnu8xJ12biLFnrcZixG5sKMAkW5Jf8arFPZuOOwsw6j2
WDsxHgwg1eiIplVUHNs0Gr6V0xgT2ZXY9iWprdr6KmUzQYR0p3VAxh+Yr9lLvjVjnT0MOkk3oKay
WxPb7iEvKqSQsXuAc/Bzbo1yBYhjANsjxM+IaObv8dgkhyly4zuGAOrI9IswHSSpOR+n6K8EL4Bz
cuOSRT1a7QtqjOAzCUV4NApv3hguDdq8GQYoOY12D6lZJdUmtprmboa/s51EXr9hD6q2WTdYV7OY
3Y9w7vNdNxTxz8Wsvx0gmD7lBJ09F0NgfWgy+x4Io8Axr0I+wlE2LyE5QfusJ227xTCM4sitXgn6
Ei9ca5yjYhKPs2MiDttNF0Jc16XDvmwYM8FfIaVlzTjLqj8z9FXRWYk6YnyUZNJBjRcXBAvzne/1
HAJzn9RPVBqef3Ams5u3FjC++WAPxozONE7waXoF/lEFKyJwGWohxqpHcx0BAkagNU7eqrEMVGNj
0scfvGnjtMrJeWVD8oPY3BhMQ2gAob9bq7QIk52Pky/fCNFpyBqVH1zactKnWUwWdbuT0k6TlGHH
sJLWVxeS/QPBkD2NET98awSsuU1iwKvZ4AQhqSIMSb4496TofSgPhAnS82A4R8jKieLN6XYTq4lH
qwI++GiR/tss8/9+G4Lg/SANpry2tWrsE3CWYNsbtCQGI2eMEPHB5H1mPOedKH9A7OuJNyjUdvBJ
I9maXZfLFfYXLqTepPN3Xn7UNHom+G1N3GEg9mnY4mvtmKWQ8ApZaFhrMCAMqaAdYAxFWvtlpJzh
1qhSa6ep8peso6r9wpyucbZ+WjpvRLuZ7xVaxLVZzfZn3LVIuZ0ZD1Y71zvQcc39MHrB90bMxdUE
ApbshduaONu9GfxlNofFfopGpOh8WQyqvpqLdVT64kbGvYdS0GHRIzVuq8OU1PwCOp2RtGs1D+RF
WQnTzihNtLGCS16W7JmEqKxwa8bZvkiB0DGGdju9tj2mDDv5K7Fde4U0VsT2NRvAFsUrRw/hNFzk
CT0uxr58oZk0n9OaIHgeGQmlCeHwTordp1oC4+OIVMgV5K32BAuVkNdMCaNdk6OdP1RkFQAVYjmU
Sww9IGT3oQGlqLaB9sV90iM4tkhOWEdYcS80agZ201mddVCRXpB2CDeh2CSMTGnJAuOET/BE48ry
8CLNDczZfiB7g7YCl4SWLKPIDOT3BId4tO6mOKB+SoPmZw2H736eU1GszXY0do0ZcRMKila9a6d3
NnRd20cjLfaCy/2DGizESOkQvSJg/yUB8NckGFF8oLEF1JJrd638oL40KlL3DZ5FGtie4bxk0CY/
e+jHrJm4Zj5GzjLIowXNSGNXmFQrbn0nZwVdIUd52nMgdxWgNbMouUHY6oZ8frj25Lz6QCwrlB5M
px4yoDNXB0UeBQN476cRBDYA/pbRUoiGGLH3qiebrDPIQTeK2VpzJ9vFhEhtuMB+Ao1zsXXU9+kU
mSu9wNacpOTn8Y3erg+1f2qLodgjNbfXuizVzinF0BBglssHyL+wxrzGAqSV2ui0V8ggkEanxFBx
yg1kuPJScQ/iIoRwVM1XcE7IDWUMUtSzE480AEEAC3YSfqGjrTTFrJ069DWbrv5BTiZDT0fG7Wf3
K1RQ0+tVyLHIGvR7UgcRheNOryRasHWil2DCrHfzZhWQgjwc89ijec+Ejttaiib5mfFYdW6mdl50
ak4jufK5nIdlF3dvrdvYb0NlkoUbSRz3y1XFW7Vex2gCC5GDyL4yvc+5TP1HB+jZq0UQUUQ2ZZye
IikoxJhZBvG2bszipYrICdhaQ8960lMQPFRNOV+ZJBMXkPvOLTHCgMx1O7kXkSffxyatTWamXUZK
u/TG8kjekkN+MXBXHh4beLmGLArTCapo/SNI7VgxQLDxD0FemZ7Jk4cYzY3ddtY09U33YI5FfemM
QDXbKSoYSCe6/NlCcWeLT6yxX56Lw77aQO5co+VkE4uRUzaXuhqy4Z50K2YodWTQ2ACv3s9bJzIm
aHTmKPNNElk89XKa+YBQf8QZ+oiSkD13UvZzX4dAw4H5RuY26W27PwVe1cudZaVcOsh1OHW9nyG2
1ubIDdijh21NTnoqw4QuIyZieSvnwX7zlem9saiT/mQ5tThrorYvM5tOypae+i8TUixyFzzy7MC2
DhXJdiMMiY2Mg5orK0i1MzRg40NiPUePZ8w06mHtoLEa7Lyh9U/l0O9a0wM0yDMJ6pOawvAty/rk
Ff8ktK0ZlKI8uvSLjllRdztVV8YP00rCUxpagNxNTpXjNA5sxYVUCRAc4AtUCUb7xtOmR2HNzKJn
Ldqjy2Z+CJvMPgMsqLnohO0FREIWA9UsCIDhT98y7gbcP3rOiI7EzdQGsxBxQszTpm4DVNO9taZd
IZ/8rXL9bxrH1t9NtlSZASgFfOBUqjBrqHx/F1HBDIbzHDvtNrTM7Fi00bc8zp8rq3wXgX623ZyD
1VfBhkvm1waC/uO//vl/GzbCPGK7MUEscLszwecs///vbeuwsXU6GEDGFheZMZf5hQ8/O//rn/Kr
ov2v7jhFJz+GqSoVJz5AkEp/KzoZHvY2CPtu25Oavel6pE1r3xCGPDhqlgTk9QzBVnYAvDHneLI3
NjhT2kl9Nrxb4+QeJyPvLl6p26c09mm58pGtPQa1V2Mop3fbplCIgRDm645zsX2ABIUT4Ncf8T9z
9/9DrAecD0mrYvEy/ouezA/G7tFH/vF7S+a37/yzLWP98SuFA+sn/579a8D+Z1vG/wNFHS+KHVgL
w2nBKf1nWyb4gxsDwjDEL7B9TIkC4M+2DOEeXHnAJzgM+QS2h3+vLRMsi+3319TD+G9B4PItJv2C
/N6/roY4JQ9RJEi9G7N98mA8HzTx5GsGLt0uMPTwI5EklxpeEJD2DI/JHzOkRAzaDpwU6PxQaJrb
nveScSt132MDMHpnzWF+bBGZ0WdIRwY2kXcnwP8dOYWKXStD93tthwWkoTEBIjWW7TcmLGZzlzAL
JttzCeqi5lSvLSLOu6qoKfQ6uwWhXpPhePbHWR5j9O1EekVuQAQDxIsVtV5N+eKQNkiww2cIPpkt
Tp65Uvbv8PT6NRBPe17xccQzZ5zvHMhbincVWwDhALVTHymKk5dc+2RL5ug155WdjYj3MP4Y+ToP
In2fjg40EhrVJbMig0FgF8o434/00l7y2uy/4P6d4TT6cXssgyS8LQOIjItXmoJioqF9ndKa2FSU
BB7GciXi+5YT4LWGbJVu6SqTqE73Y9UP09WarP5AOTh8FsjlvxIvx37VZE1z36ajoTZY8NAOZ5b7
GpqDuLRCGDeV+ua7UeR00WAc9Mep6gewT1G+rUVECPZEgOw68sblF89Q7KX87p2iJVFIUJ2dXVxM
YiAozscs/+Z1JbxhZXJF4rZk80vKwF+ZgoIyRd95b+uAyzcZSdOGdFZC3qSBnzJyvXgPeALv/mTV
RweFxIZsuBPQX3OLtQsyfjSop26MjdWQRD3ijWrmqm24SQgLfx4+IlUlpwFZ1B0vVJeEK0+Wxt5j
TLslWczfqBq0ydhwdTGtnmiq2jv4ho5fSzA9MF0MpLMG90/D8DWz7rG6Z4YZ7QtdTPT9gGirIDW3
GajVg4fa78wTRW1mNNVOz6n5tZrn+aQALDzApkzupoQXtS4G/1ub5uPOFGNzTAtboVaWt6oa1kNQ
F4wnOvUAh5Gc3KAuX0rBXhx10vmIrW46xyBY1wxh8AJzyxF+3byZZvlFKyTlls/liMeEsqKHE513
LYRTn6HOs8ZDU4/JQ8lErVPuCTUfbB+uHTnBUN0o9QrydIdHsUXhwN0OgkHZRPGNdeDfNZb2noIU
ScyBCiM5ZQq3bAN56Oa0SZFuCmEJueeL0FOXo9AIs+tserYrszowRXKvQPh9Op1tG67oT8VHlICl
sdKF57yC83KurpYCSVu1GJZ1AQrYx4Vl9lkJyEFzC4Xr3HwzM83to+tkcPNziyszWQU8fs+sQfu7
3vTAkBfJboUQxU9CeAtgeaKHkukR1TO9q6dRSkYzw0QTlg52/6WMgS/FMZyMyczda4qJBmiN6Gf+
pazC2NRZT8GiYJMz5kJSmd3+JgNycjrto9oexulbkMX6NuEUqg+2lzjfeL/jn8rrQVhJF5siKhVb
fYC2QH9ejbIn21n5/n0ClhjbsSYkQSRagOYokmo/RBVZM2Snqn3Zpfk9o1Rx6zWD4LB27edUk85T
G5XNL6lz70HFOIw2tldZW7NuI2ffmV10Pw+JhSQp8tCOYMBpkcd8JrzCPNVQ2K906tpLlkKoCa25
OkhBFY7MQF4h6KFWyWpSJFY0Y82zF5J5Q6EanV2rTy6k78KSl65rkYVrWNbNQLqOfdLLjC3r17/6
aasfZR2ZTwTTE+9aMqRVqLgH/yXKtCnWXTnVnwPZjRh2zGbtE/8Bn8sFk9vJU4JfjjWfFBUUj7Gv
t4DmU2bbQ9Vs01iqE+AsRap1fjWTGoCrZbiEuYlFDBq01mGUln70khbzNAt325g63tf8zwr9SP7c
9DSKIEHSaYmDewTW0R3RPfIzFQED5ShMd5ZdzLTe2/4cedo++K1rfkvnKr3reywzSR62e6VdH2jb
xDO0I+8SBlVKR5iwBfai/ExyaTLTYO+Gra/1N4CsBb4fg0RlJ8eVrKqdJ7u3xCMwkqWvjlbqbVUF
odBI0v67U8Q/kqb0t15jTGDULSaQBZ1z4LGn2HCqvdu5DnKW+J6gSR/zlGc8WkbuH6Y5yhFihidw
Ay71qjea2zYzpvepXNqioRXVj3boCMjgkVFua8feUFfcZu2PO+1S2BSqfM/MyT5mZWttvDr+trSy
shPlMKzxMujSzQBChQ5IR0elDZ3+ycJmczf2BnpgprrXGnW3L92v3Vge6B6UqxwW/Iq2QbfW02hR
NdkXC1s8pHaFhHzl1fBtVwMQ9U3hd8nZFrmUK2qOCcsZmpU9w1H+syscvSc941SnYZes0WVV02ZW
XME3lmwnjY5jKGnTZx96yvQJG0r3RWRlE6xp9KGAmdp+nyurItdYGNVT1RJgyfxdUhg6xP35/did
NQ5bvbPpp2CZmQXwF0P80EB4UcTr3sX2VbaKy4wBnqYcurhfG2XDORDbTTEiRWnQPzHt8T7zgixS
32uH+zhVaGdyWOf+wCEWBN1EKKd9VxTynj8L6HrkIlwTjQnIIQzIXgB8M4yvYai+B7zuX2bX23Dt
uXMVhqK0qZIPNsTqKfaon5Eya/Fr0sQfBQqIqHn7kRbn/MWIKjK8/Gw8ETEeMDTOFjH1ABpYBPXA
1Dl1vzUEpn+N+MGryEI6LeGBrLQ2/F0tyvql8Pv8EHkZDkC/OXm17h7KJIxeU2K/9xqc/k9h+tn7
0DvljlRsJg8yw7RyyBjAHIY8cEtA3HUp+eMxggEcyR84A4Y9BpL+Cjp2PtlcyF6RAaensTHGU8V4
BMF7ZR5L7bYcSL57oSGNFYlMUHlURBOvXNqKn3blmgdSDpuNcOdw12iUMhttuftUufu5TV9IYCWJ
kBw53wVzXyLEtJslHIiIMAhPFfYfjfxjqFFMoXmjk0x+3OhtbYqcFRvxhgQMvXE8Y+PZ06MhKnGi
qnWOaTm5hxhyxIfLfrYmRy1cu41mBi5zcwdnsuCEgaSV1FI+evP/Zu5MlhtH1iz9REgDHIMDZm29
IAlOoiSKGkLSBhYjZsAxO/D0/SE6qyxv3qpb1Zuy3mVkZmggCfd/OOc7hnXB4DLtS/Y29xWzyg2I
dTwwRYUyj0gklnviIR6HOwxbvzDFkEw8ck1pBoieC129C53FnYkWptR6INfK2VfxGoK7xMnBWGjY
u4lbJWit8aWP2v51dlAo6FSP+8kikz1OGCbCMQR64GVsMrBddRMIwxzDF/M0FeyJENbJ1rb1B39p
vKSlXL6hLNEh7pVs7yRxdTEVMGxeb58xmjdU+VapVO5h9juhC43gWKVOgp5Pyic1cpdHLDjvEkJG
HtGJoN2MlujJtCyfWNQqv4xs/TD4E/x55QllWsn4DXyTjdm0ioX7czEZTTt9VD3aWlgP7iC889AW
7k/yDIJ7D1nghg1W+oxZs7nDRuUwaWiqFLlU2d9zbBanhjnmrmvkdwBtwVFW5ILETjY89EQmfjhO
j+8iqyqGz1z01EV2pu4VilIq/9ROT3WJNHSTuGrm9Ohhjy+6ApBQD8egld4J//h8I5cKWUveDuc6
lRGy4aA62zqf3ya7qx51mbwDmo2uZqTyDwgGzdGWWArn3D6QlIAhLob6KVPPCln2MHROrPqhlfj7
NiqKQ0XdRPgSh/MQeGnGrNv9YtLK8DL7GMAHDjzqx/odHZn7SWR5fiaSiw9w2zkX3+qV3CzxMKhN
l8bJUyxYAJWDh39ELfo7XMtVtcG9FwHq3wHdHved5B7XUsZ3tcRg2Y/xF9+IqDJxVbEpHj/aNgZj
kGPU6NXJKtFEM/K+cqNqpruUvDsTFe+a87YzTeLXaLPQNKvpe5pOw0uORuqctdPMx3ocTzZZlGep
hyIUHXB9XebRccJME5iKA7IpspMsfkyjGfyIfWWfspovRQlrMpgq2u+zkcx3xUjm4MYB+LkXGARw
f01myE663lfLxMvnTM6j4frs35K8vU4DobPIMtU3kw8MgYsWCkKB+iQVGeEKVkc50QTGsZdzj3HN
xGwZp/NzFKUd9UJWfM2tYOFXYbVfItT7TjMmTqPbWrssAjczBn3zSpbUdMPWiROpqWzro5K18UlY
5bBvUlMd2TwFOZ7BQgXbRZc0Pb1vXVvgeLBHOlgmOVapMQjyva/mWeL4ZnVHJzemW9XxfrkSrPRc
6YlP1uQd6tUgVUUD295k6zVcKbUrWMl49XZM/V8BBT8Kn4uuAr4++io9VkikUQNRnprn3EPTU8ry
ZzPpI/FhLz5T6K1njemVGD42KOitjp0v4/3stBg67bo/sb7vPxqzHr8uo9WGAerIN7DKwaWe6+i7
Qc2EBnqoGEC3bnDg7XHYdIzy3l4KdfHIyvmQfjRQG7nuqTYpaQfbwISEhMtALwGU7xgsa8hdZRms
V6qKIx60ZnAQGGAB99QNYdC69vdRm/nfTeIFV3+RSyBvEcnPwDM8ucGNmr8pSqRQBXPw0E8LMQ34
qg5zEqVHPAb6q0cKM3dHDk+lGGbiKp1qeYoNYzzn7qKfjK5jA4Dzm8wbJrYhGZ7LaWFScQtKxLnx
HJHw1EIRwrOPeGHpSBOdnTL08on9Ri9M4jdxLIVDT9aoIMv5qXd7uCdDPbY/EWmPL0blTXLTjU53
77m1F07DjME9J0sQAaLdHGQnfqV5RWJUkkQx6J/Uvvrxircp7PSNg4N4XbMbkp0y3AEIyyLObSTE
3pjn8h2lPZXrIotrxeMOnKSoH9bQxYcCVhBCvG6Zd3VCkPIGPkJ3zWWvHimuM7Wx43o+thnJoXiv
mvEWwyTCGZG4xUl5pX/IrQWIs6KGRQmYEzWN+WIX0MVcRGyxLCgwwXqmwZoE4uF27vL4zcmQSURt
ZPtsvsfsNFWe2LjdtJxLyrNzQw7C+7jY40tAFfo0iInbZMnst1JonPqjlX2L5cBdFE3Lg7u4iMly
ZcYXskyt+6ojNiuBo0fGS+GeTAUiZbOwdqyx8noA+BzSj4gDtM2vmLZycgQImv7i5Ihg8EGAt93I
3jGR3QX1gIm6s0K7Zvm+QXGy7GfWmffc4+oj0ZF6G2XjrmF6NAYAhDczuYGPNqrlV0/mkvxrl03X
MLJqMkQJ5mOmxMp6CAQID9Lx3ZI9ThIzSx4jR4tD21kL+7Ep9z4WKyJ6qoMB1Su/uDNyl6ozzVYG
0+A0oWyi7IqfLOat9b+qiQlIkhkwcHS6N2d6cH4PNl5sKkaio73I53Rl3JyT8brOHgiELI9YpS0U
NUX5ahdmc67zjjTSaum9bwaRYztNVDsiytyDP0PYQtkzs1KRCU+m2vJbU95i+H5OyeS5Tx2XH1YQ
/OlqB2fG/+z8dx00fycZBzonVKT//b/+HDyvKL5/+EP4WyT3NPxs59vPDpzMvwUJrP/nf/c//gn3
+69Hu0xcHRN13H8+2kViQmpznvzdVoXL9c+/++/DXXOFr/NvvRUP7TKn/ffhrisRm1E6QRFd0YF/
jnZt6w8o+ujqUOhZjCz+ErAg/D/4Dz62KmmbDvhR9/9FcefJ1TX119GuZdt8e0xd+L7Qcph/27Ow
i1Wta3viEGduWRxkwUQT6S+3chBJ92tHqftkzSYacaJ0tnG+VHprEtZLdrvT9fvJlciXiLVkVWFO
GyZc5FCq12GpdhULuq0E5LpLvKY4cVyRhIWw4GRmKR1K1sdGSmJWtSaM+i7gibkk+c2XqXmLCgs3
LBqCR0GkFyRi8m2yauCnYKSQgE8dNO6q6WhUqv2J7BhTjVzBQkRSYuUKLP/BhHd/iX2ieGeRpTtD
gkktuY3wFJRp2BFmfJfZVrANEqJ1G2BMYPrt4EfGgQNYFyXF3uoi50B8j/kslzR9JDiP810IuSup
E+XG4YI6Y8IUO5PifC9Y5KGYKOJVOiWw5voWPyidYnYo/QZYTTySsoJdgcWw5Q7+00T+zM5rVH0d
fYfShgCxByc3Lw6w2D4w75ea0zx3iiPE6ss4yjt6iKfEoGN2nWHN8r03eOd22pH9npL0gDKf0TT8
on5fG15BuqRRUhX7eup3SR55L70rPYQFxUgul+WkTwSo3rWEDW2UTzBEVLk9Absr7CJhNVxu+oBB
NYNGUX9lHzUDEWijzyDT7ilbfHXl1B3q7SIM74V0pebcZnOHIdQw7zUJL7SovU1x6vc5eujAyk9e
qUGTUtIfyc4dX2GmeNZGxW5OvOiC29ymyzKlb5xq0RjfO7uPYImx9tjwSes2QzXJL1PhiTv2giQb
xgnCbZhucxjBifqRelNLaEA+H4OkZqFaEy12MEHOfo7AjR8lDnf2Dmb2rVX1R+/P8iMIFnmQZZXf
Spx+126W3ludkkitGFJcsHfIC9YCgp0s8jTbTl+iWseX0aSRQKVqHAPyTA9R7IgnaZARRoYDum5y
S/lEuzkUISsakLIl+X2hnVVaksObg0qIdg+HDzk4VibfeqQTAnszsmrqo/lZp7E+lVNnXYVFAHYY
u2r8arv+dI5yz0Ht3mU4Bpf+c0JFcIkqiH2BNO2XzvQN+NVTPT3aRtZ+FqRMt2TvLF1DSKjhNg+B
ieqF3KHSaHfAETsS6nIjzO3Jb8Jo8oGZsSvAxGLwbSqmf9fR88o3pzYYwHYGb0WTa8Iiu1iQiFhR
UN4tMZG0djdiAstIvzNAfjxyXKDtz1ORPmSJS0jX4iCW65f+MpILddUWAsoN0sb5OVhq6+zkfQcF
CJYyBaGIH81+BiEprEyA7WA4mGppYp+0pHFXRnkzgMOaaotvWmWPEMur+2hc8mvXTgCtiDtjOmZB
Z/MdfZRykg3WvEk90cREjz6rmguqK7wVCrThpoPXuveBVLSbwCvSi8ho52U9exeCRPUdM9fkYNqi
v1BFEIxUFuWnqwoWPTDF4EiJ+VXh7iFfXNnRi9WW4psllvoQTaAk8rlpn91K4UV0Row8TPwOeD15
tuapzB+iuJie/MHSTzNgKTqjuu23KmBdwZEaUm4cjcYkoa4eE4x8EWV17o7nnvv9anlBeU3htryR
hjEBSDTrn5OtEPEuuhbHaPGNZzkP4nHshPtmkfDtEnM94Yaasm4D0yGj1wYiRX9j/6rgV5GUPKk3
t0YxaSjdvqUJQZBEFw4k2YEkCm1rBqeGseAAYDDZkzE1gZCKSTKD3YxmByPTsyPLaJ8kPoNbLOvz
qUb2SDwP+YRz6bkHP+j90IKys4utDHRiOwTvldHKfdOJ4dYE8ET4Y7S6X+R7OlnlgU1Assdk0TwI
rxse8Myu9L4eOqIlyk88rMFn4Jflla6W/ZEmv0cvueDT7vVhOba2t/UNFLltTkqVBYjA2bpFnhAZ
XAxnqCXNbhp81k2LVV5VQ5JqlqffRav9rVd1Z8YYaw3f75kNfSp7aTQuGnmLmxQjhZ5PfiLjF4R9
408yGSE3trY+9O0KuZSDYFrvzcxfGdGtXPbWwT1IgPUqr2UOd1EScdmybkDbYU3A8VueSBM3iZul
/mYNAHTs9xbUkzukxr1FunQZ+2hDGGlrA88xR3Voof/bllnZHGnJ27BHqLq12MEx/237dUtkunZx
zu2+QzvnYyROMsSDhMwMsGn7rDglQ7b+LkwbwpZOlLDQ9tOkVzqOA5ODrT/ZGpW56U7P7dptIMJb
QtFM7r6iG7zZRkvCBvaO4KgthXUMmzZNjg7Y0N3kAtOrKIfuanbcZwoUIbwwob41xIGcteLlwd7m
vpQm8qBFK+c+6YjXpP1UO6ur5jtrEgdiOZajN+rlUE2iQOEQ/ci5tIoSxaWW3ZHckJBXhV6/7ja9
Q+vispXD1lRDwDXsW4fr++xktfkMDwoAXGvAjUpkRdQDtobBBpnPmNmrNDLIIUUfDq71l45a78ye
oH3j+Wgu0mddZjN+5JoZ6h9lDz3ZFwq9GfOXrwBToSkm1TXKIZpi1F7CeCyjZ96AktdUrPu2HMOq
L+Y+dLomebBiLFb8j0zqO20dlLnUV0hg5gVIUcnY1RzDEYCUuTWNEfziJPB9C69nMoNAJfhVgiIH
bm8E+ynPHcxMdusR4eRPaYh72nMOHvuAU+VUxg3Ib4wPXTtQ2oj9NbdGV3lg7YKqvlFfpNV9QbPM
ZqIssDlyDGyTk0lL4+9E02TTY6B1e2ZRWTxFvZ3+LDlxgFk56EkJImeSz0rp1S7LLMwod7d+zq6I
yROGakFXwp+lfSyjJN3bmaCdr1OTbRwxeg1j3yMrG4EEd1I3pMyPBkv/ip6Qb9id2lrXSJ/HfOOb
xOP1lBbbrsnxfHST/jGlWv8CnfSjS932UxbjV0+NJlMAJ64fAyP2jiiZ0eoTXLitanu6SJvw0EaB
9V0c0e7qiHmM7ODvTQXXU2cO9tlu/BexTLgj6eXYNhs+9ouq2yWdJBWR9SjsDbfaJx1WAOaM0yPx
dkyp6sl47vMSsL9rkcIqcBd62Rz98Jks73lGY/YSi83bMJQvKeOB+xQ5w9UsEw3cc+z3BsxRwISF
9xwjebuwNxbRNhPEFrlOX+DxH4P4PBtyHej1YO4wsX+zspGJvqGia4mjgKxCEg1ajigcdpn7MNSo
No0ismHYGoSOFzYWt8lH15rg1aDxZc8UItk2iIxOJxkmkZnssx6pBdXVZLCurR12PO0YWq12jqX2
rGdEzUnYKtg5gyGio4sKDpboZL2RN1rjMu/sY+6N0yktovoqp2K2NoO3sLtkjpy+u2nbH5spV+j3
7X5HRjkAuLSSGxAzzhsXHd5/r0WthwpShM7k5+fUKv2jjABTEidU/fKr3L/3Ord4HfOqPHg90hEE
2cC/cyAwQTM7+3ULfKpGZe2cPAq4amZmwVQDRJ6alb4gUnlyzW5PnYoWUy5Z6BftFyOqSRBwkodx
Nj6wuSbr2ATXPjHXSAdasEc1TYvyZLdVwtRn5Sar+gt+wEY76RQO6AbYaJaMSfhgsKEv+2K6mSzP
X0wG/Oi4+4jfQEsCQLro/JfO8j+Qw4l/StP5e59GE/lXQZrh+wuRUmly1NMAI82G7GmMgYTXiDpF
uFm9itSN1yYQGNSJgXuf/VE9imSJ7/xZNB8RYPXQGSnwAaiK+JAMs3rRdrDsTdfAlCHzdFe2gXGt
xpY4jcZPgQQ6vAPmNnAoJYxIpO+OFxgGRU0FKFH01UGN0iFQNL/zkc5+j72axY+hayjqRXck6fsN
nTBJ2r1yiTQOrHcxDDgRLRfLaEOGCIoLHtrcdR+cIodhDI/B3ZWNv2CGl/KTSj0+uALAoJVNX+vR
vaIJfAYcD5WSdNMdyrp55y4JkWVDdYFps1yIQ5JU4HCPNqbVBjFdaZJ4+0K3rC7XVeoP0aNyR6wT
91zuJUUhuk2r/oJqtQATl/qMftrEGy/sQuZT0lDtbvpYeE/k5Y6PXbFkxl5zHOArzsVPdzDTHwq7
xU45hgynPhG3esnxerIY3iyRZ5thPY/eHU524+iyp9t12VI3W+EDrgCrZ+qfY6ffu2Rp9tXgpnun
LYu9q5uCwA96J0+5iGnbJb2PJtcf4X60vUTqD66JqSSbJWtJH5e84oZOKnGO6F+v6Ehww9uMTm88
6MFJB3o6idrBpmxSYVvp3P0iio5SsJwm/ZKUE9OhgXqBqM4GLOvWR1UAzpU6e/xdche/y2+xVuLc
whTlRPR2IS+k2Jv08oQmTpBK7bWSt38X9f5a31u/K30zYz80rPX/ZPj9JVh7AtZ7AUnK9AlDMQpn
FfT6j102YROqg+6lXBuM9nev4VGZcRitLYj9uxsZ1sakXFuU8ne3Eq2Ny9Sydy69iQVjMgcr9bcx
wjgxEFz/bnn83+2PJVs8YH0jNT5bzzprJt0h+zO4ZW3OBzfIIULFriW/qsoUQM2J7RPV2F8dAqIP
s49Wk0OMfotJ5TOpctjGDHUzRJoelcELZhuqvkFdcbZ1SqUMTFYbm5pSmGUJnD6WZmihW3yFG7QF
AK2ZC+M+4X0Ao2ta63LO3Q4QcK6BP8m3hvdghvhPy5ivzSOSMvrIPINJneQ9kwKaTKdanUy/O0/v
dxcarA2psmziStYmdVjb1cHy4ktDB4tsI+HRpakt1/aWH3JtdGl527X5LdY22FsbYlA08uAasY/Z
rvnAu5R/w2hh8qGjlSYxufqs1vYaJhmd9rI23cnafgdrIz7/7smLtT0v10Z9XFv2fm3e9drG9787
evzVEfBQ2vxlbfgzDukyYjbbwzMhUu73ZGBNZnod1nGBuw4ORD8Eu399ov5Tit//PVCpDcU6tZHu
3xS+AanFs6Nn/4As5nl5t9+br8Z7c5seuifYNdWjUTz86+/o/N3eyndESwwDw3ECnnz5t+84MS8o
PfSJ7Ff86FuBR551AOmLD7lOF4GfsVZ37dz02PjjPPlmEc7LLizKfy2Wq0G7zmm0r7JpJsMOSYIO
F1LsSSaolTQPC2yuLxBpvBcUo5zcXlXDH0VM7xPpkM8tbOW6uYBfAbxdLfrExczjxnRg40kfmd3i
H0aqKXrnMtsXjtXs544ltV+7y6c3ZYQ/TFFxGtkgw44rjNcynVDy91X+BC8gvhOgU8lYoL57TgJv
+epMKSa5YtLTjvDI9s2J7fVxLEXx5b94UfEe/+P80hFYNizPY4pKcIr/N2lqh52YXq8xDnPvO+cq
T0+9iHwsZ3BNhaDdIqvWvZpOb1gba92huYD8D6OQ1kcHh6DatrWMf8zjMJ3LwpnvDN/qrj5D2Xfq
u/rN9tVlSKsOykSwsJG1p1tb9lgFSWTPeTQze4XtzDn6OWYHOMJQTO282JDnzo8rsilmfio7ECMF
crRUX1vwAyQ39R7A8WW9j/LfV1P2+5rC0MeV5fy+vpL1JgvWO+33C/Y/ptb+/3BaLx3LNklBQkjP
YyUE/va/fIj+KdLn8vUHU/u/6rH/wy/w5/DeRJnte7ZHs4Oayl2pZH8O78UfLs/z+pFz+Ie/CLNt
+YdJ5o9rQmFes5bXwf6fwmxb/LG679En42vA/kKZ929bjD+rwH8Vj4ya5h8+/YawHFzzgLHWp+Iv
9gSnIBzQyvvkWEyyXM/4gIG6YhlMfCIbwI0dVMudNCqfRW3bAThx5bkWfoLF1euzh0mt3TquWrfc
IeKl8zUYWHaBP7+prAyYAhI7gUYzL/MCrUYT3Ep47k8yN3GPy6zkOrBxpKcNI9zYaLdqtKKws82o
JjqhEfE3ePKGOo3ADu+ZRtnnQlvT1zGaq29oTlwoHpi50NpWIEQWN+VDj/cUYOM0e95nO0OoRJYQ
6Pkwmz0rNoH4GZNtbbBzA8vvAPVXFkPnzPfSJ62kG2+zpW1eXDmUz4Mv9c7LhzHa6rn1PsScl1et
rdlgjy7YDbcZ5I+9mJsE5zEDgY8mQ9exCRhvsI+AV3TTVQpT1eXZ/p65KJqCrHTO1hDHNzyiFYTX
VDxTcg9foKu419JIyhuRZN7B6J3g6BRqOayTYpSOSEguGKPXMYdLXYKkGlknhdB+HNBhbWIxJN+D
SfM+GkUHO7YQ3sjRkk/LnTI8+9eE3OcZ9PjyM51KcAhRrJqPBSfaI/KzzAqTLkOAVDpZ/CqdgrjL
YSj7a6IC8wFLkoZGoBVs1yGex0NeMF/eIKWeXqXlGW+wbagG2Webrwwk8ZoHHokfYUolcfW9RHzL
rKk5tIsPpk3gkd5oM+6u6FPXPTEbdBmWKgrYouT9JauYnG0au62OkglTd3LA6rab3Kp68A05Y2eW
Ft3PuIz0i0tCJ2Nl9EEWyFQDt1s0+Pe1asGqxnVVFLs+cMQhb7IueATDjbO5nzO2Tm4wgmGbjaJO
76dF6hQPW1M72Lkqw96XziJ/VgQlOjv2D260VVmlltBrBLRZIyizGiVZqz4pQJN3c6WcemWqq8fS
1e6I2KWcO16MopyQSsuBBiVqNemGVDW8fiMjgq3NN2Ksi53s5gJ2ann1vfgd7W70K82UnM9kqZLP
E3n9ERjuYH1XxWgyg6PYHA92GSH14nv1NTx2xPHXsRDWZQiSCrlVUaCLm6buO+k7GpaNGqqdmZb8
uROdcbGMFCDxOAzBp1MvS3btk9EjqkZHbGOmuXxtUAn/mN0l/dAxk91Ny+5O0WKXa8Rd7e4z08id
7ZoKdFIJuBgGgx5he6nhec6OYWsB7afOe2vLBGLYzwEioNV86/8MxtYTOPYDK/Rlga101L18Moeo
O42QucZ14qefjSLovgWt233JssTE9LksewRF5Isz+4Dwq9pgfCIZpfsyta4LDmNig7BQY4wFe8lQ
+xlQ9XSMxhBlAoIto06cUCC25LUA4pduWHWrL5Cb8rvKykm+9TKPhK2MKfyp6mMyMKzIJjORT+W0
KZiRgG13odmNmfRQ3tbj9wATSUMbOchg289Lf1/kxXzzgiVBKRvVKiJgY9aHNeblYKnCPEmVT9T/
vI0fbZAvP3qji1EW9uZ8bwI4vh+wwd0HzBuZIdaOvE2lSp/H0cBui7rJOpmTtxydLmpvqT/RONJC
MoOcKmMX10P1XteJDEfiIvddFEUv/cCRAxwvXvZkQhUsiAJF7kNvYnSE+ph9UqjXj1nRumHXxAHG
PK1PQ9QuP1YBir/FmVxbhzxHv7HxMK2o3ZCrhAwy4ks/QN3mH9KKxXQObJKvEAHIdsMZ3r/y7uAr
MOfYeoS7BR+56Jv5bLgaHc3kd3ZwqFFu76LUABVkUvwoPqtZ/Y1OnYWigyht05gD1GkEjdmnVTvq
3W0mRMVN09YscwYH/6XDdCjZ1nmWV5te0ssehDLVW5dZWX4Tfo2Iqic+GaGMyXzeNui+7pJsZsA+
8vIvRBP0K1FTzaM+imKyHQIg5s5+VI1q7wkSimApV8Gc7yClBA9tI4tvGovzr8Ro653qTLwOou0Q
KxU2140sciCgyDOSLctaGRKJgDEirmSKyBmd/c6oScFwxkYzIJqj4jxMI9lN7liUHTGWPe73TKD5
smLGhKMf6eukGhtOA6znw4i5/mSBowNWNxTEWqJm1fvGtrOL3aJsp1jv7aOJHfwwEmhA2R0TMNCx
Omy7cbnMOJzDoSwrcNyNY+bbxiszKPB5FZqFfTdp5Hgb9pL8Ldr55kmhUP9iF2wIqW4R4sdzj+EW
VR4jk5ph0S4GvnfmsXHrLyWbqYytdXeUHjU8kwzUo1bxwSIiAA4FhSPLmwA8cxUU58SeaE5Z3CCF
T7vINTccOxXnkGscWutm+/pJWKC2fHNcfhTcBlzUaf9SII++A4S+TlbIR3Gqrr8hcxt/4bpPD3bc
M3oNYJ+2E5lwA5asZbJjmruue7W1ax8RM0se3aIoNujrSF1KA4IPWFnDZbBQBJCpMIC6Y0J/tiLm
7d6cDiwZ8DtsbDiwcFrTDDeu3bC6i2tzF4wRG1iXg3yNImvUxtIopbYOA44BD7UVYXln+nPosjnI
CApp8tOSdvVNZE5x1nzULr7fZ3dLkDp3QzL4zSZVQ/cOcRvfKQHU3z3UEYSP0ig/OmXh35iWyWPW
95W1dVSEJ0Yb4kfAB2ZHJnz11GSoCJtiSZ2wzAH7mW6vXs3KTEHt8/bXhBi8l0kuV+psvrC08/C+
WzKTD1UeeN+tFPdCiAq83nptrz77NnC3C5CHl0Z03XcdW+rqgQK4r9jG+zBss/ihczuJPEomDK1N
2NxGoWxIRq6QnyT5AQmsh0K/ek6KfcudyvhnlDTJYxkZ8F4HhSQenzVC6wkTARdoPQwfozNLom7g
3xmOjSK8MaP4Q5Jvgvw8HfWn4SXGZz5AAkfikek3DG7eIfGVJFbNs88Mo/Jf/LztVcYdPptlQG69
qLmjPMNchNi89fuXgG1ps8m6yc12dpz6qCPdeX7y49bf46ef3hZ6wb1sqvJrIDxKDdVBPsAKErFU
RURdtYir7PjAWzVdrDgGuQLrrn1K2RA2lC9enrFoKDipRK37Anps0qbsso2hPgw9UoeTgl8WA5DT
XrEvrMR66JRyvgg5QdIWHWOPfTqWI7a01o9tpKitf5divCqJBNFdvxvZoyRbfzEX/DHovHAvzFP7
MfVpm+1aZi/1Nl2K6J4pOFmEyAxhq1lVgNNEpD3eNsmlxsTPQpQqef2hG6KSJoFkOApdFm+OkzQ3
xLYdcdP0Q7dsdnC7WSPMKmGSCt+5/qPFCuhnisqv2PApqETIvbt6gASBJxCHW/eZpWiahOlMSbCZ
2i6pwjhdkDlbBi3M1XfLMdrjI3eOshA1RrrcwQZQgDG3dzVXxXgv0o4QKt6FON7qoJYHz+r9W1EI
1eyWYPKXTR0Uzi+4HrCLqsCwXgPXmL+mvmH+8P1iGIhZQoYJKK/tyVvRLFs2yKO12hZZpnAs9AmS
mSL+JdDV3PqFCd0cKAs7ZtqBIADBEC6ybp8Gn+1Ny4DvYlWw4fczVVu2Az4hQsI+fM6pIfc3ntdF
X4OpETezosQIqXoDY9uWgVuEWnnsnljPG78ALC/UaEN7YhJWiM0yNvUegIgOW2nzmDjcyzs+2QCW
m8ysv9pBo8QVMV4REkRIJp0S+lqbBajfStUTdH7VRtCt2lZso7JJrhHDtpOd+8R4YNlskbiwd6ID
Eg1IZkQZ41byJWNoXA4/k8X2+E1N0u92TRAVv2omp7fWLnAUQK1lChk1A2YjY9nJQfMmt5r1qN32
IcGCuMnxyyGbmkEs7GICkMJhIfcxUmnublwzVl+Twmjvcr2QRqEttq9GD+V3dsAeHiIDN9E9bl8D
LubIV/GTDgw/IyVaMnrOdV87RGc4hei6i4CieQHSfOPmBgdgg524A+dfsdw3c8Wqr7YPpoF5aGwk
YB7ukDBuRRN6IsnBVWVodZ0sydAByyEMagy6AwHs9/zQztnBM/1OHdCEQR5UezintsFDU9QbOeFN
2ASMDslSIL9MZ/lwq52BaVNpM2IjQ4B5S9WY6ZM0F+BuirSeDWw892516YVUcFEovOgbdWpwMHkm
w3roGawHQfwp2rL/Npts1TdGakW7eBY5RptaPsWLxbSH7gALak0q5WKUJfzoXr9oHV3npIfxiw7g
iXUYz6XQjEojz9VnH6ft0VFFfOd5Kud199KznxBBAMAodUHdmOJL0y6SMyqtvbVCxz6NN4qVhXQc
omn7OKOazVPzm8sRc0wpS+F66qy7R4ZASMRo0xy3Y0ntaqRZv4tRcJ8I4KGIZgVbv4DE9veUcN7V
I2zi2VlqRNCY0651R+rp5NUg4+LMG18aQ8VI7H0hToRrk0Gux+SFRy8igEYsHG14RDgeIYdt0KXC
dysqqLsV8CWwzYl3BT1G6naDMzPd2J6Z37uGPRyTNLEfUrEgO4uYXj+2RROzwzGhUifmAEGpjGcy
OIasf55Fkb4OxTBemUu633l2rauFqfdn0yXdnhyNiPhLMSfkbE8O8/O+pqq38uwEiS67l6aJ8Zv0
EGdb9pxX6YA1fDP4JaEGFQLsoSrLA7mTxOuQAnMSygPBVzj6zij4ZfMVZ7eJjKqhZI0RertsVr+0
XHUJ343ljGla67KxL54jQQra/2Hu3JqbNqI4/lU8PPSp1ei+0nRghiZtAzRphmbo82K7WL4FZDsk
fHp+e5GQbCUkWaC7b0TmaPfo7Ln89+w5W8qQ0el1x+ko1XY+5nQ1pcraLImvuR/Gncoj5blkR6mY
rS+iVTT/I0+v5ueXafyfIBjEKn9YcMHnevfLlho71+KNMp+/Xy0Wxfo1CWQf3+QYZb7lpw+k0O+u
LreTBcj10c8E50tKGSXLk+Qmw6NZ1tfXx2E+p00cl+6oJo1J2ZEPOedW5ndBEb9DM/BOdvBBzm+L
nSnM7/yyWm8vLh/3owaUGyZ0vyTiJCyyfSBST0qnMN9FYym31XY3of14LAJSc0NQTdJw9Hgyotjx
O/u4KIJUCLL1yzjUg1NhEpY7PLqNC3cv8DC/+pDOXQuY6lTtF5OnT8h2BpHvJVE/lAcUsxAZ148L
apAO8ECUQZlnaQQ0a56aehwe8QDwOAICdmJCnASFWiTAcl8CRMBVFoVNW96YF/341Y+BLbYqM5+e
besuuE5gdr+171HobAJA84yasHFhpRy0u7MJEABwf/CqJDObwGy6H88COaFhM/Hwtq7G2x4LKAjF
uYGTAERhwLFhIYQ6NuyuPg+4pxDnHIGZ1cMcv1SAoIVAlN5TCPZ4+EUIojhQC4wLVYqps/4yptRN
FOdcL221g1/rxxGOXO1AlAaCs+M45bRTD65xdJgg8kBVAoooHuSpDqTkkb4V48qIOAq4RaPKcg0y
oogDiv+QRB56tw045DVzMjWpW8/iId5AFvCVqS+SJUNSUPA4pIA33oBvOoDaVaFIhKsSiMOA0txx
Gil12pX/JKCXc8pldCsVRtv6ZAJgAEkK+xfKHuoLKX+wpAuWqkqnB1+6w4cSPaD4jBiY4Z0/qE6s
HS1hnOMOUKWda1ytxu/yAIOAAsBZ9FYXqs1AfwxXPiSBSElJjxM87C4DIv4e0xCucZf+L5dwz5Z3
ggLdec7ZJUhCrkKSRZEW1vU5MIqioKyiyKiRp4Z3SiFO2cyuUhAGGekvFN1X9f7U6AlDkQYk47Nd
wtIoDF+FgW/n5B9jGqxvVAzZRqHcRB5QslG/yC/TQAJiSgFUNwYUQU6GEocow7tBBESh5PtlkRET
70yDKEPuGbuyAbSAaBCdSL05M3r7QaRBSKJqmccUXlXDu/2g2BAnzq4i4RInXzn2wY4+GyL8COoK
E1ebx8YY+bQruNlqRNTBXy7pQFrgLPKROwaSaCmhBG4aqp4vani3FRDQ0NUwYB2LNAYWi/m23dVn
AVhBgT2wZtFThXiQxPlgX5mYOUlBhjrIQIcPJYgawZTAQWh3iF/AQRqB6zhahagMqA4cqmrARtYP
fKQopCBcbLFT/9RhlIJ+OzKBchp4yRnh1yBoIFSNZUAaPGbDI+/0AQG/s6OYJEEGepBloXUA+o6i
oFtzKHSBErMd/GOChZBczxOA0nOqS1BcxQaIBOUdvQCKkoGm0jbNOhDehQ06qdxxS0TgaIJjA1pp
91av/KOU0vc6ad0vdRipWTkum2+fJQUhIS0a9dhTh0VAoR4u51D6RQ9fbaPzHkDICZwjILnW+HX2
QKmkgzxAsm/bx54Jg8FQXM0j8sBFLMA01QixywAVLuYhLSh8PVQETiRqTJwZkAchfQwwjINWoQQ+
yNkvAClmeBcncHvPGUgCUcyotBUnOIRm9IRBqLNX2A0fDBO8ixnjPIlcARQsQlHGHFaRS6XHnmos
AxSC4rZ5qhp9+6USsNgH/VEfGjPABGB6sPV9s0iiRSjIwrAZHT4Fyre0IXnw0kXAJqcDatRXhRyv
h7Qf48TNqkIee/bhU10gj0k5QAW5CREie66ixLtjDwpQ1jwHLWl8Rv8cA+sdm6/zeEYAG+D7cp0y
t6b/QBrYBAnOs9WUD9CF99g0bQbX0axaTnTuVjXddGo+fvUHjRAcErAJSzoriZyU3g9VPUhD2pxS
qH8/651f6KSqzsMmyUq/x/53u8DDV/fe1ayq+eNJNa1lPZ7d6Ac3dppnckX+1/P1ZFbL0XktJ9PN
rJdTohOrvkzo6ZPedDt+8p30Nxu56pI153OuZKktK+suWXP47Ur2RNY3+62UDEzoTLlayfFMLgc5
bRAI11e8lKvVbvSTXL3/dfRKUnCo6nHIhviub3kl6zXJjwvZ5b7NQHGmjZwu9wjrxCZXwn/JxWYm
Jx+n0/e9aavL080fBiu2tir/Lhk/lZPZzfAeMhGl6/T/nlRMv5mo0i/2YM+V8PlushvPpnV90yNu
nD134uu5fNsnrFFnV8Kv5VxyMUP2sgCtm+5K+59qsah6Cstm2boSvpCrajk6k5NdlyPWpXQlrisF
D6kW4GlV2teV/r/TzXb025Q+c8uGmJJCm3fqSv1UosxRWNu6J+MWnXal/uduDvVtd97tCZgz7cve
jNsDRle6WGW5kusRlZ9HZ9X48q2sRy82NPqbbPrrsImPzu+rd+vbzVObWeT6mtPq02Xddwd03hZw
YLOsx2vhi5q7kX0JssSBFFxnfiwneEn6c8h3fIwTeTVdVg1d7fEpvEgnoLm+64w3qE+9R92CMa7U
T+Va8WmA+Ddg0+n0HT6OvOntCgskgSi6zv14upztM91mNjiTbvcbN3Wamdrvql4RNX97vIAeqULu
FdLTd7PbVCXXJRzNZnK7rTYHb/iSGev6intUpNcXMx7PpJeYglsr3n8DEbr4WrtUx/nft/aP42uG
9dHoOfbi+DZJJpeP3J0CVJdrHpxWRqpZ8N0SMRRvtrd/DqPQ5lbP0H/rh9jqF+PlVNbPPgMAAP//
</cx:binary>
              </cx:geoCache>
            </cx:geography>
          </cx:layoutPr>
          <cx:valueColors>
            <cx:minColor>
              <a:schemeClr val="accent5">
                <a:lumMod val="20000"/>
                <a:lumOff val="80000"/>
              </a:schemeClr>
            </cx:minColor>
            <cx:maxColor>
              <a:schemeClr val="accent5">
                <a:lumMod val="75000"/>
              </a:schemeClr>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14/relationships/chartEx" Target="../charts/chartEx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4</xdr:col>
      <xdr:colOff>322308</xdr:colOff>
      <xdr:row>7</xdr:row>
      <xdr:rowOff>58207</xdr:rowOff>
    </xdr:from>
    <xdr:to>
      <xdr:col>11</xdr:col>
      <xdr:colOff>421936</xdr:colOff>
      <xdr:row>31</xdr:row>
      <xdr:rowOff>172784</xdr:rowOff>
    </xdr:to>
    <xdr:sp macro="" textlink="">
      <xdr:nvSpPr>
        <xdr:cNvPr id="4" name="Rectangle: Rounded Corners 3">
          <a:extLst>
            <a:ext uri="{FF2B5EF4-FFF2-40B4-BE49-F238E27FC236}">
              <a16:creationId xmlns:a16="http://schemas.microsoft.com/office/drawing/2014/main" id="{AC9DB1A4-700D-4191-94F7-A8FA964F69E0}"/>
            </a:ext>
          </a:extLst>
        </xdr:cNvPr>
        <xdr:cNvSpPr/>
      </xdr:nvSpPr>
      <xdr:spPr>
        <a:xfrm>
          <a:off x="2760708" y="1391707"/>
          <a:ext cx="4366828" cy="4686577"/>
        </a:xfrm>
        <a:prstGeom prst="roundRect">
          <a:avLst>
            <a:gd name="adj" fmla="val 2920"/>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2800">
            <a:solidFill>
              <a:schemeClr val="bg2">
                <a:lumMod val="90000"/>
              </a:schemeClr>
            </a:solidFill>
            <a:latin typeface="Aptos Narrow" panose="020B0004020202020204" pitchFamily="34" charset="0"/>
            <a:ea typeface="+mn-ea"/>
            <a:cs typeface="+mn-cs"/>
          </a:endParaRPr>
        </a:p>
      </xdr:txBody>
    </xdr:sp>
    <xdr:clientData/>
  </xdr:twoCellAnchor>
  <xdr:twoCellAnchor>
    <xdr:from>
      <xdr:col>11</xdr:col>
      <xdr:colOff>516601</xdr:colOff>
      <xdr:row>7</xdr:row>
      <xdr:rowOff>58207</xdr:rowOff>
    </xdr:from>
    <xdr:to>
      <xdr:col>19</xdr:col>
      <xdr:colOff>8060</xdr:colOff>
      <xdr:row>31</xdr:row>
      <xdr:rowOff>171521</xdr:rowOff>
    </xdr:to>
    <xdr:sp macro="" textlink="">
      <xdr:nvSpPr>
        <xdr:cNvPr id="6" name="Rectangle: Rounded Corners 5">
          <a:extLst>
            <a:ext uri="{FF2B5EF4-FFF2-40B4-BE49-F238E27FC236}">
              <a16:creationId xmlns:a16="http://schemas.microsoft.com/office/drawing/2014/main" id="{08AC6598-45A8-4B89-82E8-AF921BA58675}"/>
            </a:ext>
          </a:extLst>
        </xdr:cNvPr>
        <xdr:cNvSpPr/>
      </xdr:nvSpPr>
      <xdr:spPr>
        <a:xfrm>
          <a:off x="7222201" y="1391707"/>
          <a:ext cx="4368259" cy="4685314"/>
        </a:xfrm>
        <a:prstGeom prst="roundRect">
          <a:avLst>
            <a:gd name="adj" fmla="val 2921"/>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2800">
            <a:solidFill>
              <a:schemeClr val="bg2">
                <a:lumMod val="90000"/>
              </a:schemeClr>
            </a:solidFill>
            <a:latin typeface="Aptos Narrow" panose="020B0004020202020204" pitchFamily="34" charset="0"/>
            <a:ea typeface="+mn-ea"/>
            <a:cs typeface="+mn-cs"/>
          </a:endParaRPr>
        </a:p>
      </xdr:txBody>
    </xdr:sp>
    <xdr:clientData/>
  </xdr:twoCellAnchor>
  <xdr:twoCellAnchor>
    <xdr:from>
      <xdr:col>0</xdr:col>
      <xdr:colOff>116636</xdr:colOff>
      <xdr:row>2</xdr:row>
      <xdr:rowOff>136063</xdr:rowOff>
    </xdr:from>
    <xdr:to>
      <xdr:col>4</xdr:col>
      <xdr:colOff>223592</xdr:colOff>
      <xdr:row>31</xdr:row>
      <xdr:rowOff>164630</xdr:rowOff>
    </xdr:to>
    <xdr:sp macro="" textlink="">
      <xdr:nvSpPr>
        <xdr:cNvPr id="24" name="Rectangle: Rounded Corners 23">
          <a:extLst>
            <a:ext uri="{FF2B5EF4-FFF2-40B4-BE49-F238E27FC236}">
              <a16:creationId xmlns:a16="http://schemas.microsoft.com/office/drawing/2014/main" id="{05CF7664-7635-45CF-9DBF-9CA7C70EA4E6}"/>
            </a:ext>
          </a:extLst>
        </xdr:cNvPr>
        <xdr:cNvSpPr/>
      </xdr:nvSpPr>
      <xdr:spPr>
        <a:xfrm>
          <a:off x="116636" y="511697"/>
          <a:ext cx="2539632" cy="5475257"/>
        </a:xfrm>
        <a:prstGeom prst="roundRect">
          <a:avLst>
            <a:gd name="adj" fmla="val 3502"/>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2800">
            <a:solidFill>
              <a:schemeClr val="bg2">
                <a:lumMod val="90000"/>
              </a:schemeClr>
            </a:solidFill>
            <a:latin typeface="Aptos Narrow" panose="020B0004020202020204" pitchFamily="34" charset="0"/>
            <a:ea typeface="+mn-ea"/>
            <a:cs typeface="+mn-cs"/>
          </a:endParaRPr>
        </a:p>
      </xdr:txBody>
    </xdr:sp>
    <xdr:clientData/>
  </xdr:twoCellAnchor>
  <xdr:twoCellAnchor>
    <xdr:from>
      <xdr:col>4</xdr:col>
      <xdr:colOff>322308</xdr:colOff>
      <xdr:row>7</xdr:row>
      <xdr:rowOff>130452</xdr:rowOff>
    </xdr:from>
    <xdr:to>
      <xdr:col>11</xdr:col>
      <xdr:colOff>181237</xdr:colOff>
      <xdr:row>31</xdr:row>
      <xdr:rowOff>176119</xdr:rowOff>
    </xdr:to>
    <mc:AlternateContent xmlns:mc="http://schemas.openxmlformats.org/markup-compatibility/2006">
      <mc:Choice xmlns:cx4="http://schemas.microsoft.com/office/drawing/2016/5/10/chartex" Requires="cx4">
        <xdr:graphicFrame macro="">
          <xdr:nvGraphicFramePr>
            <xdr:cNvPr id="26" name="Chart 25">
              <a:extLst>
                <a:ext uri="{FF2B5EF4-FFF2-40B4-BE49-F238E27FC236}">
                  <a16:creationId xmlns:a16="http://schemas.microsoft.com/office/drawing/2014/main" id="{B82A3D57-84AC-4FC6-A054-8D58427114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754984" y="1445170"/>
              <a:ext cx="4116112" cy="455327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516601</xdr:colOff>
      <xdr:row>7</xdr:row>
      <xdr:rowOff>130452</xdr:rowOff>
    </xdr:from>
    <xdr:to>
      <xdr:col>18</xdr:col>
      <xdr:colOff>373557</xdr:colOff>
      <xdr:row>31</xdr:row>
      <xdr:rowOff>175366</xdr:rowOff>
    </xdr:to>
    <mc:AlternateContent xmlns:mc="http://schemas.openxmlformats.org/markup-compatibility/2006">
      <mc:Choice xmlns:cx4="http://schemas.microsoft.com/office/drawing/2016/5/10/chartex" Requires="cx4">
        <xdr:graphicFrame macro="">
          <xdr:nvGraphicFramePr>
            <xdr:cNvPr id="27" name="Chart 26">
              <a:extLst>
                <a:ext uri="{FF2B5EF4-FFF2-40B4-BE49-F238E27FC236}">
                  <a16:creationId xmlns:a16="http://schemas.microsoft.com/office/drawing/2014/main" id="{4FD4E8C3-C264-4F28-B88C-70628EEF3A0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206460" y="1445170"/>
              <a:ext cx="4114139" cy="4552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246315</xdr:colOff>
      <xdr:row>8</xdr:row>
      <xdr:rowOff>161801</xdr:rowOff>
    </xdr:from>
    <xdr:to>
      <xdr:col>10</xdr:col>
      <xdr:colOff>503771</xdr:colOff>
      <xdr:row>12</xdr:row>
      <xdr:rowOff>52258</xdr:rowOff>
    </xdr:to>
    <xdr:sp macro="" textlink="">
      <xdr:nvSpPr>
        <xdr:cNvPr id="28" name="TextBox 27">
          <a:extLst>
            <a:ext uri="{FF2B5EF4-FFF2-40B4-BE49-F238E27FC236}">
              <a16:creationId xmlns:a16="http://schemas.microsoft.com/office/drawing/2014/main" id="{49DB35A5-BA8A-4E55-9A12-99239E7E79BA}"/>
            </a:ext>
          </a:extLst>
        </xdr:cNvPr>
        <xdr:cNvSpPr txBox="1"/>
      </xdr:nvSpPr>
      <xdr:spPr>
        <a:xfrm>
          <a:off x="5111667" y="1664336"/>
          <a:ext cx="1473794" cy="64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40000"/>
                  <a:lumOff val="60000"/>
                </a:schemeClr>
              </a:solidFill>
              <a:latin typeface="Aptos Narrow" panose="020B0004020202020204" pitchFamily="34" charset="0"/>
              <a:ea typeface="Calibri"/>
              <a:cs typeface="Calibri"/>
            </a:rPr>
            <a:t>Average</a:t>
          </a:r>
          <a:r>
            <a:rPr lang="en-US" sz="1050" b="0" i="0" u="none" strike="noStrike" baseline="0">
              <a:solidFill>
                <a:schemeClr val="accent5">
                  <a:lumMod val="40000"/>
                  <a:lumOff val="60000"/>
                </a:schemeClr>
              </a:solidFill>
              <a:latin typeface="Aptos Narrow" panose="020B0004020202020204" pitchFamily="34" charset="0"/>
              <a:ea typeface="Calibri"/>
              <a:cs typeface="Calibri"/>
            </a:rPr>
            <a:t> Dropout Rate 2012-15 by State, %</a:t>
          </a:r>
          <a:endParaRPr lang="en-US" sz="1050" b="0" i="0" u="none" strike="noStrike">
            <a:solidFill>
              <a:schemeClr val="accent5">
                <a:lumMod val="40000"/>
                <a:lumOff val="60000"/>
              </a:schemeClr>
            </a:solidFill>
            <a:latin typeface="Aptos Narrow" panose="020B0004020202020204" pitchFamily="34" charset="0"/>
            <a:ea typeface="Calibri"/>
            <a:cs typeface="Calibri"/>
          </a:endParaRPr>
        </a:p>
      </xdr:txBody>
    </xdr:sp>
    <xdr:clientData/>
  </xdr:twoCellAnchor>
  <xdr:twoCellAnchor>
    <xdr:from>
      <xdr:col>15</xdr:col>
      <xdr:colOff>416862</xdr:colOff>
      <xdr:row>8</xdr:row>
      <xdr:rowOff>161801</xdr:rowOff>
    </xdr:from>
    <xdr:to>
      <xdr:col>18</xdr:col>
      <xdr:colOff>348260</xdr:colOff>
      <xdr:row>12</xdr:row>
      <xdr:rowOff>52258</xdr:rowOff>
    </xdr:to>
    <xdr:sp macro="" textlink="">
      <xdr:nvSpPr>
        <xdr:cNvPr id="29" name="TextBox 28">
          <a:extLst>
            <a:ext uri="{FF2B5EF4-FFF2-40B4-BE49-F238E27FC236}">
              <a16:creationId xmlns:a16="http://schemas.microsoft.com/office/drawing/2014/main" id="{5A5865CE-8C21-4158-8DFE-221FBE2C4627}"/>
            </a:ext>
          </a:extLst>
        </xdr:cNvPr>
        <xdr:cNvSpPr txBox="1"/>
      </xdr:nvSpPr>
      <xdr:spPr>
        <a:xfrm>
          <a:off x="9539397" y="1664336"/>
          <a:ext cx="1755905" cy="64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40000"/>
                  <a:lumOff val="60000"/>
                </a:schemeClr>
              </a:solidFill>
              <a:latin typeface="Aptos Narrow" panose="020B0004020202020204" pitchFamily="34" charset="0"/>
              <a:ea typeface="Calibri"/>
              <a:cs typeface="Calibri"/>
            </a:rPr>
            <a:t>Average</a:t>
          </a:r>
          <a:r>
            <a:rPr lang="en-US" sz="1050" b="0" i="0" u="none" strike="noStrike" baseline="0">
              <a:solidFill>
                <a:schemeClr val="accent5">
                  <a:lumMod val="40000"/>
                  <a:lumOff val="60000"/>
                </a:schemeClr>
              </a:solidFill>
              <a:latin typeface="Aptos Narrow" panose="020B0004020202020204" pitchFamily="34" charset="0"/>
              <a:ea typeface="Calibri"/>
              <a:cs typeface="Calibri"/>
            </a:rPr>
            <a:t> Gross Enrollment Ratio 2013-16 by State, %</a:t>
          </a:r>
          <a:endParaRPr lang="en-US" sz="1050" b="0" i="0" u="none" strike="noStrike">
            <a:solidFill>
              <a:schemeClr val="accent5">
                <a:lumMod val="40000"/>
                <a:lumOff val="60000"/>
              </a:schemeClr>
            </a:solidFill>
            <a:latin typeface="Aptos Narrow" panose="020B0004020202020204" pitchFamily="34" charset="0"/>
            <a:ea typeface="Calibri"/>
            <a:cs typeface="Calibri"/>
          </a:endParaRPr>
        </a:p>
      </xdr:txBody>
    </xdr:sp>
    <xdr:clientData/>
  </xdr:twoCellAnchor>
  <xdr:twoCellAnchor>
    <xdr:from>
      <xdr:col>0</xdr:col>
      <xdr:colOff>116636</xdr:colOff>
      <xdr:row>0</xdr:row>
      <xdr:rowOff>105114</xdr:rowOff>
    </xdr:from>
    <xdr:to>
      <xdr:col>26</xdr:col>
      <xdr:colOff>507015</xdr:colOff>
      <xdr:row>2</xdr:row>
      <xdr:rowOff>81759</xdr:rowOff>
    </xdr:to>
    <xdr:sp macro="" textlink="">
      <xdr:nvSpPr>
        <xdr:cNvPr id="35" name="Rectangle: Rounded Corners 34">
          <a:extLst>
            <a:ext uri="{FF2B5EF4-FFF2-40B4-BE49-F238E27FC236}">
              <a16:creationId xmlns:a16="http://schemas.microsoft.com/office/drawing/2014/main" id="{BAD8F537-6DFA-4483-9AA3-0992BD794290}"/>
            </a:ext>
          </a:extLst>
        </xdr:cNvPr>
        <xdr:cNvSpPr/>
      </xdr:nvSpPr>
      <xdr:spPr>
        <a:xfrm>
          <a:off x="116636" y="105114"/>
          <a:ext cx="16260457" cy="340909"/>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b="0">
              <a:solidFill>
                <a:schemeClr val="accent5">
                  <a:lumMod val="40000"/>
                  <a:lumOff val="60000"/>
                </a:schemeClr>
              </a:solidFill>
              <a:latin typeface="+mn-lt"/>
              <a:ea typeface="+mn-ea"/>
              <a:cs typeface="+mn-cs"/>
            </a:rPr>
            <a:t>Summary Dashboard - Infrastructure and Educational Outcomes in Indian Schools 2012 - 16</a:t>
          </a:r>
        </a:p>
      </xdr:txBody>
    </xdr:sp>
    <xdr:clientData/>
  </xdr:twoCellAnchor>
  <xdr:twoCellAnchor>
    <xdr:from>
      <xdr:col>4</xdr:col>
      <xdr:colOff>322308</xdr:colOff>
      <xdr:row>2</xdr:row>
      <xdr:rowOff>145063</xdr:rowOff>
    </xdr:from>
    <xdr:to>
      <xdr:col>7</xdr:col>
      <xdr:colOff>387138</xdr:colOff>
      <xdr:row>6</xdr:row>
      <xdr:rowOff>171774</xdr:rowOff>
    </xdr:to>
    <xdr:grpSp>
      <xdr:nvGrpSpPr>
        <xdr:cNvPr id="40" name="Group 39">
          <a:extLst>
            <a:ext uri="{FF2B5EF4-FFF2-40B4-BE49-F238E27FC236}">
              <a16:creationId xmlns:a16="http://schemas.microsoft.com/office/drawing/2014/main" id="{496E3AE2-F888-EA80-82F8-EBB4607E6F50}"/>
            </a:ext>
          </a:extLst>
        </xdr:cNvPr>
        <xdr:cNvGrpSpPr/>
      </xdr:nvGrpSpPr>
      <xdr:grpSpPr>
        <a:xfrm>
          <a:off x="2779029" y="519817"/>
          <a:ext cx="1907371" cy="776219"/>
          <a:chOff x="1943843" y="507920"/>
          <a:chExt cx="1892075" cy="752425"/>
        </a:xfrm>
      </xdr:grpSpPr>
      <xdr:grpSp>
        <xdr:nvGrpSpPr>
          <xdr:cNvPr id="32" name="Group 31">
            <a:extLst>
              <a:ext uri="{FF2B5EF4-FFF2-40B4-BE49-F238E27FC236}">
                <a16:creationId xmlns:a16="http://schemas.microsoft.com/office/drawing/2014/main" id="{54C6FD31-5A55-4A24-8A0F-3DBEE831C2F6}"/>
              </a:ext>
            </a:extLst>
          </xdr:cNvPr>
          <xdr:cNvGrpSpPr/>
        </xdr:nvGrpSpPr>
        <xdr:grpSpPr>
          <a:xfrm>
            <a:off x="1943843" y="507920"/>
            <a:ext cx="1892075" cy="752425"/>
            <a:chOff x="1911993" y="1383223"/>
            <a:chExt cx="1323225" cy="648836"/>
          </a:xfrm>
        </xdr:grpSpPr>
        <xdr:sp macro="" textlink="">
          <xdr:nvSpPr>
            <xdr:cNvPr id="33" name="Rectangle: Rounded Corners 32">
              <a:extLst>
                <a:ext uri="{FF2B5EF4-FFF2-40B4-BE49-F238E27FC236}">
                  <a16:creationId xmlns:a16="http://schemas.microsoft.com/office/drawing/2014/main" id="{8503B98B-47CE-C1A8-3A40-F21D9982D21B}"/>
                </a:ext>
              </a:extLst>
            </xdr:cNvPr>
            <xdr:cNvSpPr/>
          </xdr:nvSpPr>
          <xdr:spPr>
            <a:xfrm>
              <a:off x="1911993" y="1383223"/>
              <a:ext cx="1323225" cy="647789"/>
            </a:xfrm>
            <a:prstGeom prst="roundRect">
              <a:avLst>
                <a:gd name="adj" fmla="val 10562"/>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34" name="Rectangle: Top Corners Rounded 33">
              <a:extLst>
                <a:ext uri="{FF2B5EF4-FFF2-40B4-BE49-F238E27FC236}">
                  <a16:creationId xmlns:a16="http://schemas.microsoft.com/office/drawing/2014/main" id="{18824EB3-03A5-47E8-5F56-C066A3945694}"/>
                </a:ext>
              </a:extLst>
            </xdr:cNvPr>
            <xdr:cNvSpPr/>
          </xdr:nvSpPr>
          <xdr:spPr>
            <a:xfrm rot="16200000">
              <a:off x="1611165" y="1684052"/>
              <a:ext cx="648836" cy="47177"/>
            </a:xfrm>
            <a:prstGeom prst="round2SameRect">
              <a:avLst>
                <a:gd name="adj1" fmla="val 50000"/>
                <a:gd name="adj2" fmla="val 0"/>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sp macro="" textlink="">
        <xdr:nvSpPr>
          <xdr:cNvPr id="36" name="TextBox 35">
            <a:extLst>
              <a:ext uri="{FF2B5EF4-FFF2-40B4-BE49-F238E27FC236}">
                <a16:creationId xmlns:a16="http://schemas.microsoft.com/office/drawing/2014/main" id="{2DD12234-1838-49DD-8516-2ACC2234F5B4}"/>
              </a:ext>
            </a:extLst>
          </xdr:cNvPr>
          <xdr:cNvSpPr txBox="1"/>
        </xdr:nvSpPr>
        <xdr:spPr>
          <a:xfrm>
            <a:off x="2104482" y="537808"/>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60000"/>
                    <a:lumOff val="40000"/>
                  </a:schemeClr>
                </a:solidFill>
                <a:latin typeface="Aptos Narrow" panose="020B0004020202020204" pitchFamily="34" charset="0"/>
                <a:ea typeface="Calibri"/>
                <a:cs typeface="Calibri"/>
              </a:rPr>
              <a:t>Average Dropout Rate, %</a:t>
            </a:r>
          </a:p>
        </xdr:txBody>
      </xdr:sp>
      <xdr:sp macro="" textlink="Workings!B8">
        <xdr:nvSpPr>
          <xdr:cNvPr id="37" name="TextBox 36">
            <a:extLst>
              <a:ext uri="{FF2B5EF4-FFF2-40B4-BE49-F238E27FC236}">
                <a16:creationId xmlns:a16="http://schemas.microsoft.com/office/drawing/2014/main" id="{E3D201ED-9A13-4E5B-A3B4-C5443CEE0E6F}"/>
              </a:ext>
            </a:extLst>
          </xdr:cNvPr>
          <xdr:cNvSpPr txBox="1"/>
        </xdr:nvSpPr>
        <xdr:spPr>
          <a:xfrm>
            <a:off x="2104482" y="865157"/>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5982FE8-92AB-478D-A797-FEF44F086D24}" type="TxLink">
              <a:rPr lang="en-US" sz="2400" b="1" i="0" u="none" strike="noStrike">
                <a:solidFill>
                  <a:schemeClr val="accent5">
                    <a:lumMod val="40000"/>
                    <a:lumOff val="60000"/>
                  </a:schemeClr>
                </a:solidFill>
                <a:latin typeface="Calibri"/>
                <a:ea typeface="Calibri"/>
                <a:cs typeface="Calibri"/>
              </a:rPr>
              <a:t>8.4</a:t>
            </a:fld>
            <a:endParaRPr lang="en-US" sz="2000" b="1" i="0" u="none" strike="noStrike">
              <a:solidFill>
                <a:schemeClr val="accent5">
                  <a:lumMod val="40000"/>
                  <a:lumOff val="60000"/>
                </a:schemeClr>
              </a:solidFill>
              <a:latin typeface="Aptos Narrow" panose="020B0004020202020204" pitchFamily="34" charset="0"/>
              <a:ea typeface="Calibri"/>
              <a:cs typeface="Calibri"/>
            </a:endParaRPr>
          </a:p>
        </xdr:txBody>
      </xdr:sp>
    </xdr:grpSp>
    <xdr:clientData/>
  </xdr:twoCellAnchor>
  <xdr:twoCellAnchor editAs="oneCell">
    <xdr:from>
      <xdr:col>0</xdr:col>
      <xdr:colOff>194387</xdr:colOff>
      <xdr:row>3</xdr:row>
      <xdr:rowOff>38863</xdr:rowOff>
    </xdr:from>
    <xdr:to>
      <xdr:col>4</xdr:col>
      <xdr:colOff>143098</xdr:colOff>
      <xdr:row>22</xdr:row>
      <xdr:rowOff>181427</xdr:rowOff>
    </xdr:to>
    <mc:AlternateContent xmlns:mc="http://schemas.openxmlformats.org/markup-compatibility/2006">
      <mc:Choice xmlns:a14="http://schemas.microsoft.com/office/drawing/2010/main" Requires="a14">
        <xdr:graphicFrame macro="">
          <xdr:nvGraphicFramePr>
            <xdr:cNvPr id="38" name="State_UT">
              <a:extLst>
                <a:ext uri="{FF2B5EF4-FFF2-40B4-BE49-F238E27FC236}">
                  <a16:creationId xmlns:a16="http://schemas.microsoft.com/office/drawing/2014/main" id="{FA2D468C-A174-49FA-BB9A-9C3889E23EC8}"/>
                </a:ext>
              </a:extLst>
            </xdr:cNvPr>
            <xdr:cNvGraphicFramePr/>
          </xdr:nvGraphicFramePr>
          <xdr:xfrm>
            <a:off x="0" y="0"/>
            <a:ext cx="0" cy="0"/>
          </xdr:xfrm>
          <a:graphic>
            <a:graphicData uri="http://schemas.microsoft.com/office/drawing/2010/slicer">
              <sle:slicer xmlns:sle="http://schemas.microsoft.com/office/drawing/2010/slicer" name="State_UT"/>
            </a:graphicData>
          </a:graphic>
        </xdr:graphicFrame>
      </mc:Choice>
      <mc:Fallback>
        <xdr:sp macro="" textlink="">
          <xdr:nvSpPr>
            <xdr:cNvPr id="0" name=""/>
            <xdr:cNvSpPr>
              <a:spLocks noTextEdit="1"/>
            </xdr:cNvSpPr>
          </xdr:nvSpPr>
          <xdr:spPr>
            <a:xfrm>
              <a:off x="194387" y="600994"/>
              <a:ext cx="2405432" cy="370272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187909</xdr:colOff>
      <xdr:row>23</xdr:row>
      <xdr:rowOff>62976</xdr:rowOff>
    </xdr:from>
    <xdr:to>
      <xdr:col>4</xdr:col>
      <xdr:colOff>144471</xdr:colOff>
      <xdr:row>31</xdr:row>
      <xdr:rowOff>80629</xdr:rowOff>
    </xdr:to>
    <mc:AlternateContent xmlns:mc="http://schemas.openxmlformats.org/markup-compatibility/2006">
      <mc:Choice xmlns:a14="http://schemas.microsoft.com/office/drawing/2010/main" Requires="a14">
        <xdr:graphicFrame macro="">
          <xdr:nvGraphicFramePr>
            <xdr:cNvPr id="39" name="Year">
              <a:extLst>
                <a:ext uri="{FF2B5EF4-FFF2-40B4-BE49-F238E27FC236}">
                  <a16:creationId xmlns:a16="http://schemas.microsoft.com/office/drawing/2014/main" id="{9300BA62-3D03-4183-990F-3DE34E3FCD8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87909" y="4372648"/>
              <a:ext cx="2413283" cy="151667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443389</xdr:colOff>
      <xdr:row>2</xdr:row>
      <xdr:rowOff>145063</xdr:rowOff>
    </xdr:from>
    <xdr:to>
      <xdr:col>10</xdr:col>
      <xdr:colOff>508219</xdr:colOff>
      <xdr:row>6</xdr:row>
      <xdr:rowOff>171774</xdr:rowOff>
    </xdr:to>
    <xdr:grpSp>
      <xdr:nvGrpSpPr>
        <xdr:cNvPr id="41" name="Group 40">
          <a:extLst>
            <a:ext uri="{FF2B5EF4-FFF2-40B4-BE49-F238E27FC236}">
              <a16:creationId xmlns:a16="http://schemas.microsoft.com/office/drawing/2014/main" id="{73BBDBDC-9241-4798-854E-3E7E142D3AF2}"/>
            </a:ext>
          </a:extLst>
        </xdr:cNvPr>
        <xdr:cNvGrpSpPr/>
      </xdr:nvGrpSpPr>
      <xdr:grpSpPr>
        <a:xfrm>
          <a:off x="4742651" y="519817"/>
          <a:ext cx="1907371" cy="776219"/>
          <a:chOff x="1943843" y="507920"/>
          <a:chExt cx="1892075" cy="752425"/>
        </a:xfrm>
      </xdr:grpSpPr>
      <xdr:grpSp>
        <xdr:nvGrpSpPr>
          <xdr:cNvPr id="42" name="Group 41">
            <a:extLst>
              <a:ext uri="{FF2B5EF4-FFF2-40B4-BE49-F238E27FC236}">
                <a16:creationId xmlns:a16="http://schemas.microsoft.com/office/drawing/2014/main" id="{17D4B6DD-9CB9-3A61-EA9A-8236F7C580C3}"/>
              </a:ext>
            </a:extLst>
          </xdr:cNvPr>
          <xdr:cNvGrpSpPr/>
        </xdr:nvGrpSpPr>
        <xdr:grpSpPr>
          <a:xfrm>
            <a:off x="1943843" y="507920"/>
            <a:ext cx="1892075" cy="752425"/>
            <a:chOff x="1911993" y="1383223"/>
            <a:chExt cx="1323225" cy="648836"/>
          </a:xfrm>
        </xdr:grpSpPr>
        <xdr:sp macro="" textlink="">
          <xdr:nvSpPr>
            <xdr:cNvPr id="45" name="Rectangle: Rounded Corners 44">
              <a:extLst>
                <a:ext uri="{FF2B5EF4-FFF2-40B4-BE49-F238E27FC236}">
                  <a16:creationId xmlns:a16="http://schemas.microsoft.com/office/drawing/2014/main" id="{8C4598A8-9389-F368-BF5E-EDFE9378F96F}"/>
                </a:ext>
              </a:extLst>
            </xdr:cNvPr>
            <xdr:cNvSpPr/>
          </xdr:nvSpPr>
          <xdr:spPr>
            <a:xfrm>
              <a:off x="1911993" y="1383223"/>
              <a:ext cx="1323225" cy="647789"/>
            </a:xfrm>
            <a:prstGeom prst="roundRect">
              <a:avLst>
                <a:gd name="adj" fmla="val 10562"/>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46" name="Rectangle: Top Corners Rounded 45">
              <a:extLst>
                <a:ext uri="{FF2B5EF4-FFF2-40B4-BE49-F238E27FC236}">
                  <a16:creationId xmlns:a16="http://schemas.microsoft.com/office/drawing/2014/main" id="{F98ED698-B175-C76B-CDDD-A576DFD3B945}"/>
                </a:ext>
              </a:extLst>
            </xdr:cNvPr>
            <xdr:cNvSpPr/>
          </xdr:nvSpPr>
          <xdr:spPr>
            <a:xfrm rot="16200000">
              <a:off x="1611165" y="1684052"/>
              <a:ext cx="648836" cy="47177"/>
            </a:xfrm>
            <a:prstGeom prst="round2SameRect">
              <a:avLst>
                <a:gd name="adj1" fmla="val 50000"/>
                <a:gd name="adj2" fmla="val 0"/>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sp macro="" textlink="">
        <xdr:nvSpPr>
          <xdr:cNvPr id="43" name="TextBox 42">
            <a:extLst>
              <a:ext uri="{FF2B5EF4-FFF2-40B4-BE49-F238E27FC236}">
                <a16:creationId xmlns:a16="http://schemas.microsoft.com/office/drawing/2014/main" id="{E94C8BD2-3ED6-8835-52D0-9CBBAA09E96F}"/>
              </a:ext>
            </a:extLst>
          </xdr:cNvPr>
          <xdr:cNvSpPr txBox="1"/>
        </xdr:nvSpPr>
        <xdr:spPr>
          <a:xfrm>
            <a:off x="2104482" y="537808"/>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60000"/>
                    <a:lumOff val="40000"/>
                  </a:schemeClr>
                </a:solidFill>
                <a:latin typeface="Aptos Narrow" panose="020B0004020202020204" pitchFamily="34" charset="0"/>
                <a:ea typeface="Calibri"/>
                <a:cs typeface="Calibri"/>
              </a:rPr>
              <a:t>Average GER, %</a:t>
            </a:r>
          </a:p>
        </xdr:txBody>
      </xdr:sp>
      <xdr:sp macro="" textlink="Workings!B16">
        <xdr:nvSpPr>
          <xdr:cNvPr id="44" name="TextBox 43">
            <a:extLst>
              <a:ext uri="{FF2B5EF4-FFF2-40B4-BE49-F238E27FC236}">
                <a16:creationId xmlns:a16="http://schemas.microsoft.com/office/drawing/2014/main" id="{035ACB5B-12A0-0C48-7B24-D372026BE075}"/>
              </a:ext>
            </a:extLst>
          </xdr:cNvPr>
          <xdr:cNvSpPr txBox="1"/>
        </xdr:nvSpPr>
        <xdr:spPr>
          <a:xfrm>
            <a:off x="2104482" y="865157"/>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3882C3F-D293-40EB-BBC8-2E61353A2B4C}" type="TxLink">
              <a:rPr lang="en-US" sz="2400" b="1" i="0" u="none" strike="noStrike">
                <a:solidFill>
                  <a:schemeClr val="accent5">
                    <a:lumMod val="40000"/>
                    <a:lumOff val="60000"/>
                  </a:schemeClr>
                </a:solidFill>
                <a:latin typeface="Calibri"/>
                <a:ea typeface="Calibri"/>
                <a:cs typeface="Calibri"/>
              </a:rPr>
              <a:t>87.6</a:t>
            </a:fld>
            <a:endParaRPr lang="en-US" sz="4400" b="1" i="0" u="none" strike="noStrike">
              <a:solidFill>
                <a:schemeClr val="accent5">
                  <a:lumMod val="40000"/>
                  <a:lumOff val="60000"/>
                </a:schemeClr>
              </a:solidFill>
              <a:latin typeface="Aptos Narrow" panose="020B0004020202020204" pitchFamily="34" charset="0"/>
              <a:ea typeface="Calibri"/>
              <a:cs typeface="Calibri"/>
            </a:endParaRPr>
          </a:p>
        </xdr:txBody>
      </xdr:sp>
    </xdr:grpSp>
    <xdr:clientData/>
  </xdr:twoCellAnchor>
  <xdr:twoCellAnchor>
    <xdr:from>
      <xdr:col>10</xdr:col>
      <xdr:colOff>564470</xdr:colOff>
      <xdr:row>2</xdr:row>
      <xdr:rowOff>145063</xdr:rowOff>
    </xdr:from>
    <xdr:to>
      <xdr:col>14</xdr:col>
      <xdr:colOff>21131</xdr:colOff>
      <xdr:row>6</xdr:row>
      <xdr:rowOff>171774</xdr:rowOff>
    </xdr:to>
    <xdr:grpSp>
      <xdr:nvGrpSpPr>
        <xdr:cNvPr id="47" name="Group 46">
          <a:extLst>
            <a:ext uri="{FF2B5EF4-FFF2-40B4-BE49-F238E27FC236}">
              <a16:creationId xmlns:a16="http://schemas.microsoft.com/office/drawing/2014/main" id="{DC17C95C-F98D-4978-810C-0999CFE8A7DE}"/>
            </a:ext>
          </a:extLst>
        </xdr:cNvPr>
        <xdr:cNvGrpSpPr/>
      </xdr:nvGrpSpPr>
      <xdr:grpSpPr>
        <a:xfrm>
          <a:off x="6706273" y="519817"/>
          <a:ext cx="1913383" cy="776219"/>
          <a:chOff x="1943843" y="507920"/>
          <a:chExt cx="1892075" cy="752425"/>
        </a:xfrm>
      </xdr:grpSpPr>
      <xdr:grpSp>
        <xdr:nvGrpSpPr>
          <xdr:cNvPr id="48" name="Group 47">
            <a:extLst>
              <a:ext uri="{FF2B5EF4-FFF2-40B4-BE49-F238E27FC236}">
                <a16:creationId xmlns:a16="http://schemas.microsoft.com/office/drawing/2014/main" id="{762FFB1E-32DB-5DB7-51A8-EE2BE6EAD222}"/>
              </a:ext>
            </a:extLst>
          </xdr:cNvPr>
          <xdr:cNvGrpSpPr/>
        </xdr:nvGrpSpPr>
        <xdr:grpSpPr>
          <a:xfrm>
            <a:off x="1943843" y="507920"/>
            <a:ext cx="1892075" cy="752425"/>
            <a:chOff x="1911993" y="1383223"/>
            <a:chExt cx="1323225" cy="648836"/>
          </a:xfrm>
        </xdr:grpSpPr>
        <xdr:sp macro="" textlink="">
          <xdr:nvSpPr>
            <xdr:cNvPr id="51" name="Rectangle: Rounded Corners 50">
              <a:extLst>
                <a:ext uri="{FF2B5EF4-FFF2-40B4-BE49-F238E27FC236}">
                  <a16:creationId xmlns:a16="http://schemas.microsoft.com/office/drawing/2014/main" id="{1DF21699-B45D-531D-4D97-456C466E5EA8}"/>
                </a:ext>
              </a:extLst>
            </xdr:cNvPr>
            <xdr:cNvSpPr/>
          </xdr:nvSpPr>
          <xdr:spPr>
            <a:xfrm>
              <a:off x="1911993" y="1383223"/>
              <a:ext cx="1323225" cy="647789"/>
            </a:xfrm>
            <a:prstGeom prst="roundRect">
              <a:avLst>
                <a:gd name="adj" fmla="val 10562"/>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52" name="Rectangle: Top Corners Rounded 51">
              <a:extLst>
                <a:ext uri="{FF2B5EF4-FFF2-40B4-BE49-F238E27FC236}">
                  <a16:creationId xmlns:a16="http://schemas.microsoft.com/office/drawing/2014/main" id="{0A0AF905-12EB-2635-DE29-B8D4DC2850C6}"/>
                </a:ext>
              </a:extLst>
            </xdr:cNvPr>
            <xdr:cNvSpPr/>
          </xdr:nvSpPr>
          <xdr:spPr>
            <a:xfrm rot="16200000">
              <a:off x="1611165" y="1684052"/>
              <a:ext cx="648836" cy="47177"/>
            </a:xfrm>
            <a:prstGeom prst="round2SameRect">
              <a:avLst>
                <a:gd name="adj1" fmla="val 50000"/>
                <a:gd name="adj2" fmla="val 0"/>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sp macro="" textlink="">
        <xdr:nvSpPr>
          <xdr:cNvPr id="49" name="TextBox 48">
            <a:extLst>
              <a:ext uri="{FF2B5EF4-FFF2-40B4-BE49-F238E27FC236}">
                <a16:creationId xmlns:a16="http://schemas.microsoft.com/office/drawing/2014/main" id="{503F6485-57BD-2243-A7DA-67CB92AA35FC}"/>
              </a:ext>
            </a:extLst>
          </xdr:cNvPr>
          <xdr:cNvSpPr txBox="1"/>
        </xdr:nvSpPr>
        <xdr:spPr>
          <a:xfrm>
            <a:off x="2104482" y="537808"/>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60000"/>
                    <a:lumOff val="40000"/>
                  </a:schemeClr>
                </a:solidFill>
                <a:latin typeface="Aptos Narrow" panose="020B0004020202020204" pitchFamily="34" charset="0"/>
                <a:ea typeface="Calibri"/>
                <a:cs typeface="Calibri"/>
              </a:rPr>
              <a:t>Schools</a:t>
            </a:r>
            <a:r>
              <a:rPr lang="en-US" sz="1050" b="0" i="0" u="none" strike="noStrike" baseline="0">
                <a:solidFill>
                  <a:schemeClr val="accent5">
                    <a:lumMod val="60000"/>
                    <a:lumOff val="40000"/>
                  </a:schemeClr>
                </a:solidFill>
                <a:latin typeface="Aptos Narrow" panose="020B0004020202020204" pitchFamily="34" charset="0"/>
                <a:ea typeface="Calibri"/>
                <a:cs typeface="Calibri"/>
              </a:rPr>
              <a:t> w/ Boys Toilet</a:t>
            </a:r>
            <a:r>
              <a:rPr lang="en-US" sz="1050" b="0" i="0" u="none" strike="noStrike">
                <a:solidFill>
                  <a:schemeClr val="accent5">
                    <a:lumMod val="60000"/>
                    <a:lumOff val="40000"/>
                  </a:schemeClr>
                </a:solidFill>
                <a:latin typeface="Aptos Narrow" panose="020B0004020202020204" pitchFamily="34" charset="0"/>
                <a:ea typeface="Calibri"/>
                <a:cs typeface="Calibri"/>
              </a:rPr>
              <a:t>, %</a:t>
            </a:r>
          </a:p>
        </xdr:txBody>
      </xdr:sp>
      <xdr:sp macro="" textlink="Workings!A21">
        <xdr:nvSpPr>
          <xdr:cNvPr id="50" name="TextBox 49">
            <a:extLst>
              <a:ext uri="{FF2B5EF4-FFF2-40B4-BE49-F238E27FC236}">
                <a16:creationId xmlns:a16="http://schemas.microsoft.com/office/drawing/2014/main" id="{7386F34B-D7E4-9867-63BE-B1381ACB3B17}"/>
              </a:ext>
            </a:extLst>
          </xdr:cNvPr>
          <xdr:cNvSpPr txBox="1"/>
        </xdr:nvSpPr>
        <xdr:spPr>
          <a:xfrm>
            <a:off x="2104482" y="865157"/>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CA43AE9-E355-4B5C-B021-40EE261C51FB}" type="TxLink">
              <a:rPr lang="en-US" sz="2400" b="1" i="0" u="none" strike="noStrike">
                <a:solidFill>
                  <a:schemeClr val="accent5">
                    <a:lumMod val="40000"/>
                    <a:lumOff val="60000"/>
                  </a:schemeClr>
                </a:solidFill>
                <a:latin typeface="Calibri"/>
                <a:ea typeface="Calibri"/>
                <a:cs typeface="Calibri"/>
              </a:rPr>
              <a:t>91.9</a:t>
            </a:fld>
            <a:endParaRPr lang="en-US" sz="8000" b="1" i="0" u="none" strike="noStrike">
              <a:solidFill>
                <a:schemeClr val="accent5">
                  <a:lumMod val="40000"/>
                  <a:lumOff val="60000"/>
                </a:schemeClr>
              </a:solidFill>
              <a:latin typeface="Aptos Narrow" panose="020B0004020202020204" pitchFamily="34" charset="0"/>
              <a:ea typeface="Calibri"/>
              <a:cs typeface="Calibri"/>
            </a:endParaRPr>
          </a:p>
        </xdr:txBody>
      </xdr:sp>
    </xdr:grpSp>
    <xdr:clientData/>
  </xdr:twoCellAnchor>
  <xdr:twoCellAnchor>
    <xdr:from>
      <xdr:col>14</xdr:col>
      <xdr:colOff>77382</xdr:colOff>
      <xdr:row>2</xdr:row>
      <xdr:rowOff>145063</xdr:rowOff>
    </xdr:from>
    <xdr:to>
      <xdr:col>17</xdr:col>
      <xdr:colOff>142213</xdr:colOff>
      <xdr:row>6</xdr:row>
      <xdr:rowOff>171774</xdr:rowOff>
    </xdr:to>
    <xdr:grpSp>
      <xdr:nvGrpSpPr>
        <xdr:cNvPr id="53" name="Group 52">
          <a:extLst>
            <a:ext uri="{FF2B5EF4-FFF2-40B4-BE49-F238E27FC236}">
              <a16:creationId xmlns:a16="http://schemas.microsoft.com/office/drawing/2014/main" id="{C46EDF9D-3F46-455C-AA23-701C49E19348}"/>
            </a:ext>
          </a:extLst>
        </xdr:cNvPr>
        <xdr:cNvGrpSpPr/>
      </xdr:nvGrpSpPr>
      <xdr:grpSpPr>
        <a:xfrm>
          <a:off x="8675907" y="519817"/>
          <a:ext cx="1907372" cy="776219"/>
          <a:chOff x="1943843" y="507920"/>
          <a:chExt cx="1892075" cy="752425"/>
        </a:xfrm>
      </xdr:grpSpPr>
      <xdr:grpSp>
        <xdr:nvGrpSpPr>
          <xdr:cNvPr id="54" name="Group 53">
            <a:extLst>
              <a:ext uri="{FF2B5EF4-FFF2-40B4-BE49-F238E27FC236}">
                <a16:creationId xmlns:a16="http://schemas.microsoft.com/office/drawing/2014/main" id="{3C9F6302-E5B8-33C9-24ED-BC3CE60E30DF}"/>
              </a:ext>
            </a:extLst>
          </xdr:cNvPr>
          <xdr:cNvGrpSpPr/>
        </xdr:nvGrpSpPr>
        <xdr:grpSpPr>
          <a:xfrm>
            <a:off x="1943843" y="507920"/>
            <a:ext cx="1892075" cy="752425"/>
            <a:chOff x="1911993" y="1383223"/>
            <a:chExt cx="1323225" cy="648836"/>
          </a:xfrm>
        </xdr:grpSpPr>
        <xdr:sp macro="" textlink="">
          <xdr:nvSpPr>
            <xdr:cNvPr id="57" name="Rectangle: Rounded Corners 56">
              <a:extLst>
                <a:ext uri="{FF2B5EF4-FFF2-40B4-BE49-F238E27FC236}">
                  <a16:creationId xmlns:a16="http://schemas.microsoft.com/office/drawing/2014/main" id="{A6CE4C82-F573-A487-EBAB-1736303AA0D3}"/>
                </a:ext>
              </a:extLst>
            </xdr:cNvPr>
            <xdr:cNvSpPr/>
          </xdr:nvSpPr>
          <xdr:spPr>
            <a:xfrm>
              <a:off x="1911993" y="1383223"/>
              <a:ext cx="1323225" cy="647789"/>
            </a:xfrm>
            <a:prstGeom prst="roundRect">
              <a:avLst>
                <a:gd name="adj" fmla="val 10562"/>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58" name="Rectangle: Top Corners Rounded 57">
              <a:extLst>
                <a:ext uri="{FF2B5EF4-FFF2-40B4-BE49-F238E27FC236}">
                  <a16:creationId xmlns:a16="http://schemas.microsoft.com/office/drawing/2014/main" id="{63D1965C-16AA-1109-060D-A2CF3DA3D0CF}"/>
                </a:ext>
              </a:extLst>
            </xdr:cNvPr>
            <xdr:cNvSpPr/>
          </xdr:nvSpPr>
          <xdr:spPr>
            <a:xfrm rot="16200000">
              <a:off x="1611165" y="1684052"/>
              <a:ext cx="648836" cy="47177"/>
            </a:xfrm>
            <a:prstGeom prst="round2SameRect">
              <a:avLst>
                <a:gd name="adj1" fmla="val 50000"/>
                <a:gd name="adj2" fmla="val 0"/>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sp macro="" textlink="">
        <xdr:nvSpPr>
          <xdr:cNvPr id="55" name="TextBox 54">
            <a:extLst>
              <a:ext uri="{FF2B5EF4-FFF2-40B4-BE49-F238E27FC236}">
                <a16:creationId xmlns:a16="http://schemas.microsoft.com/office/drawing/2014/main" id="{CD5E1C84-2980-AE59-68C1-A564E4D4827B}"/>
              </a:ext>
            </a:extLst>
          </xdr:cNvPr>
          <xdr:cNvSpPr txBox="1"/>
        </xdr:nvSpPr>
        <xdr:spPr>
          <a:xfrm>
            <a:off x="2104482" y="537808"/>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60000"/>
                    <a:lumOff val="40000"/>
                  </a:schemeClr>
                </a:solidFill>
                <a:latin typeface="Aptos Narrow" panose="020B0004020202020204" pitchFamily="34" charset="0"/>
                <a:ea typeface="Calibri"/>
                <a:cs typeface="Calibri"/>
              </a:rPr>
              <a:t>Schools</a:t>
            </a:r>
            <a:r>
              <a:rPr lang="en-US" sz="1050" b="0" i="0" u="none" strike="noStrike" baseline="0">
                <a:solidFill>
                  <a:schemeClr val="accent5">
                    <a:lumMod val="60000"/>
                    <a:lumOff val="40000"/>
                  </a:schemeClr>
                </a:solidFill>
                <a:latin typeface="Aptos Narrow" panose="020B0004020202020204" pitchFamily="34" charset="0"/>
                <a:ea typeface="Calibri"/>
                <a:cs typeface="Calibri"/>
              </a:rPr>
              <a:t> w/ Girls Toilet</a:t>
            </a:r>
            <a:r>
              <a:rPr lang="en-US" sz="1050" b="0" i="0" u="none" strike="noStrike">
                <a:solidFill>
                  <a:schemeClr val="accent5">
                    <a:lumMod val="60000"/>
                    <a:lumOff val="40000"/>
                  </a:schemeClr>
                </a:solidFill>
                <a:latin typeface="Aptos Narrow" panose="020B0004020202020204" pitchFamily="34" charset="0"/>
                <a:ea typeface="Calibri"/>
                <a:cs typeface="Calibri"/>
              </a:rPr>
              <a:t>, %</a:t>
            </a:r>
          </a:p>
        </xdr:txBody>
      </xdr:sp>
      <xdr:sp macro="" textlink="Workings!A26">
        <xdr:nvSpPr>
          <xdr:cNvPr id="56" name="TextBox 55">
            <a:extLst>
              <a:ext uri="{FF2B5EF4-FFF2-40B4-BE49-F238E27FC236}">
                <a16:creationId xmlns:a16="http://schemas.microsoft.com/office/drawing/2014/main" id="{BCB5C370-9B59-B3CF-4157-BA5D432408B7}"/>
              </a:ext>
            </a:extLst>
          </xdr:cNvPr>
          <xdr:cNvSpPr txBox="1"/>
        </xdr:nvSpPr>
        <xdr:spPr>
          <a:xfrm>
            <a:off x="2104482" y="865157"/>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16B70B-DBB2-4D2E-A96D-7F266F6E2DF2}" type="TxLink">
              <a:rPr lang="en-US" sz="2400" b="1" i="0" u="none" strike="noStrike">
                <a:solidFill>
                  <a:schemeClr val="accent5">
                    <a:lumMod val="40000"/>
                    <a:lumOff val="60000"/>
                  </a:schemeClr>
                </a:solidFill>
                <a:latin typeface="Calibri"/>
                <a:ea typeface="Calibri"/>
                <a:cs typeface="Calibri"/>
              </a:rPr>
              <a:t>95.0</a:t>
            </a:fld>
            <a:endParaRPr lang="en-US" sz="19900" b="1" i="0" u="none" strike="noStrike">
              <a:solidFill>
                <a:schemeClr val="accent5">
                  <a:lumMod val="40000"/>
                  <a:lumOff val="60000"/>
                </a:schemeClr>
              </a:solidFill>
              <a:latin typeface="Aptos Narrow" panose="020B0004020202020204" pitchFamily="34" charset="0"/>
              <a:ea typeface="Calibri"/>
              <a:cs typeface="Calibri"/>
            </a:endParaRPr>
          </a:p>
        </xdr:txBody>
      </xdr:sp>
    </xdr:grpSp>
    <xdr:clientData/>
  </xdr:twoCellAnchor>
  <xdr:twoCellAnchor>
    <xdr:from>
      <xdr:col>17</xdr:col>
      <xdr:colOff>198464</xdr:colOff>
      <xdr:row>2</xdr:row>
      <xdr:rowOff>145063</xdr:rowOff>
    </xdr:from>
    <xdr:to>
      <xdr:col>20</xdr:col>
      <xdr:colOff>262381</xdr:colOff>
      <xdr:row>6</xdr:row>
      <xdr:rowOff>171774</xdr:rowOff>
    </xdr:to>
    <xdr:grpSp>
      <xdr:nvGrpSpPr>
        <xdr:cNvPr id="59" name="Group 58">
          <a:extLst>
            <a:ext uri="{FF2B5EF4-FFF2-40B4-BE49-F238E27FC236}">
              <a16:creationId xmlns:a16="http://schemas.microsoft.com/office/drawing/2014/main" id="{70C1ED15-5CFE-4F33-B782-4EC5A7BE7319}"/>
            </a:ext>
          </a:extLst>
        </xdr:cNvPr>
        <xdr:cNvGrpSpPr/>
      </xdr:nvGrpSpPr>
      <xdr:grpSpPr>
        <a:xfrm>
          <a:off x="10639530" y="519817"/>
          <a:ext cx="1906458" cy="776219"/>
          <a:chOff x="1943843" y="507920"/>
          <a:chExt cx="1892075" cy="752425"/>
        </a:xfrm>
      </xdr:grpSpPr>
      <xdr:grpSp>
        <xdr:nvGrpSpPr>
          <xdr:cNvPr id="60" name="Group 59">
            <a:extLst>
              <a:ext uri="{FF2B5EF4-FFF2-40B4-BE49-F238E27FC236}">
                <a16:creationId xmlns:a16="http://schemas.microsoft.com/office/drawing/2014/main" id="{894AE2D8-9304-6A05-66F5-DF64453FB8E6}"/>
              </a:ext>
            </a:extLst>
          </xdr:cNvPr>
          <xdr:cNvGrpSpPr/>
        </xdr:nvGrpSpPr>
        <xdr:grpSpPr>
          <a:xfrm>
            <a:off x="1943843" y="507920"/>
            <a:ext cx="1892075" cy="752425"/>
            <a:chOff x="1911993" y="1383223"/>
            <a:chExt cx="1323225" cy="648836"/>
          </a:xfrm>
        </xdr:grpSpPr>
        <xdr:sp macro="" textlink="">
          <xdr:nvSpPr>
            <xdr:cNvPr id="63" name="Rectangle: Rounded Corners 62">
              <a:extLst>
                <a:ext uri="{FF2B5EF4-FFF2-40B4-BE49-F238E27FC236}">
                  <a16:creationId xmlns:a16="http://schemas.microsoft.com/office/drawing/2014/main" id="{86D44880-CC06-7465-36E6-149E30395679}"/>
                </a:ext>
              </a:extLst>
            </xdr:cNvPr>
            <xdr:cNvSpPr/>
          </xdr:nvSpPr>
          <xdr:spPr>
            <a:xfrm>
              <a:off x="1911993" y="1383223"/>
              <a:ext cx="1323225" cy="647789"/>
            </a:xfrm>
            <a:prstGeom prst="roundRect">
              <a:avLst>
                <a:gd name="adj" fmla="val 10562"/>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4" name="Rectangle: Top Corners Rounded 63">
              <a:extLst>
                <a:ext uri="{FF2B5EF4-FFF2-40B4-BE49-F238E27FC236}">
                  <a16:creationId xmlns:a16="http://schemas.microsoft.com/office/drawing/2014/main" id="{AD0CEB08-2F3A-5850-6FE0-38C98D03D129}"/>
                </a:ext>
              </a:extLst>
            </xdr:cNvPr>
            <xdr:cNvSpPr/>
          </xdr:nvSpPr>
          <xdr:spPr>
            <a:xfrm rot="16200000">
              <a:off x="1611165" y="1684052"/>
              <a:ext cx="648836" cy="47177"/>
            </a:xfrm>
            <a:prstGeom prst="round2SameRect">
              <a:avLst>
                <a:gd name="adj1" fmla="val 50000"/>
                <a:gd name="adj2" fmla="val 0"/>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sp macro="" textlink="">
        <xdr:nvSpPr>
          <xdr:cNvPr id="61" name="TextBox 60">
            <a:extLst>
              <a:ext uri="{FF2B5EF4-FFF2-40B4-BE49-F238E27FC236}">
                <a16:creationId xmlns:a16="http://schemas.microsoft.com/office/drawing/2014/main" id="{927BA3A6-672D-6361-B515-DC09826BA80C}"/>
              </a:ext>
            </a:extLst>
          </xdr:cNvPr>
          <xdr:cNvSpPr txBox="1"/>
        </xdr:nvSpPr>
        <xdr:spPr>
          <a:xfrm>
            <a:off x="2104482" y="537808"/>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60000"/>
                    <a:lumOff val="40000"/>
                  </a:schemeClr>
                </a:solidFill>
                <a:latin typeface="Aptos Narrow" panose="020B0004020202020204" pitchFamily="34" charset="0"/>
                <a:ea typeface="Calibri"/>
                <a:cs typeface="Calibri"/>
              </a:rPr>
              <a:t>Schools</a:t>
            </a:r>
            <a:r>
              <a:rPr lang="en-US" sz="1050" b="0" i="0" u="none" strike="noStrike" baseline="0">
                <a:solidFill>
                  <a:schemeClr val="accent5">
                    <a:lumMod val="60000"/>
                    <a:lumOff val="40000"/>
                  </a:schemeClr>
                </a:solidFill>
                <a:latin typeface="Aptos Narrow" panose="020B0004020202020204" pitchFamily="34" charset="0"/>
                <a:ea typeface="Calibri"/>
                <a:cs typeface="Calibri"/>
              </a:rPr>
              <a:t> w/ Computers</a:t>
            </a:r>
            <a:r>
              <a:rPr lang="en-US" sz="1050" b="0" i="0" u="none" strike="noStrike">
                <a:solidFill>
                  <a:schemeClr val="accent5">
                    <a:lumMod val="60000"/>
                    <a:lumOff val="40000"/>
                  </a:schemeClr>
                </a:solidFill>
                <a:latin typeface="Aptos Narrow" panose="020B0004020202020204" pitchFamily="34" charset="0"/>
                <a:ea typeface="Calibri"/>
                <a:cs typeface="Calibri"/>
              </a:rPr>
              <a:t>, %</a:t>
            </a:r>
          </a:p>
        </xdr:txBody>
      </xdr:sp>
      <xdr:sp macro="" textlink="Workings!A31">
        <xdr:nvSpPr>
          <xdr:cNvPr id="62" name="TextBox 61">
            <a:extLst>
              <a:ext uri="{FF2B5EF4-FFF2-40B4-BE49-F238E27FC236}">
                <a16:creationId xmlns:a16="http://schemas.microsoft.com/office/drawing/2014/main" id="{B75BFF8B-8C34-D672-24E0-BFD057CC2E68}"/>
              </a:ext>
            </a:extLst>
          </xdr:cNvPr>
          <xdr:cNvSpPr txBox="1"/>
        </xdr:nvSpPr>
        <xdr:spPr>
          <a:xfrm>
            <a:off x="2104482" y="865157"/>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2B72B3-E31B-40EF-B5EB-872B944EDEAE}" type="TxLink">
              <a:rPr lang="en-US" sz="2400" b="1" i="0" u="none" strike="noStrike">
                <a:solidFill>
                  <a:schemeClr val="accent5">
                    <a:lumMod val="40000"/>
                    <a:lumOff val="60000"/>
                  </a:schemeClr>
                </a:solidFill>
                <a:latin typeface="Calibri"/>
                <a:ea typeface="Calibri"/>
                <a:cs typeface="Calibri"/>
              </a:rPr>
              <a:t>40.4</a:t>
            </a:fld>
            <a:endParaRPr lang="en-US" sz="59500" b="1" i="0" u="none" strike="noStrike">
              <a:solidFill>
                <a:schemeClr val="accent5">
                  <a:lumMod val="40000"/>
                  <a:lumOff val="60000"/>
                </a:schemeClr>
              </a:solidFill>
              <a:latin typeface="Aptos Narrow" panose="020B0004020202020204" pitchFamily="34" charset="0"/>
              <a:ea typeface="Calibri"/>
              <a:cs typeface="Calibri"/>
            </a:endParaRPr>
          </a:p>
        </xdr:txBody>
      </xdr:sp>
    </xdr:grpSp>
    <xdr:clientData/>
  </xdr:twoCellAnchor>
  <xdr:twoCellAnchor>
    <xdr:from>
      <xdr:col>20</xdr:col>
      <xdr:colOff>318632</xdr:colOff>
      <xdr:row>2</xdr:row>
      <xdr:rowOff>145063</xdr:rowOff>
    </xdr:from>
    <xdr:to>
      <xdr:col>23</xdr:col>
      <xdr:colOff>383462</xdr:colOff>
      <xdr:row>6</xdr:row>
      <xdr:rowOff>171774</xdr:rowOff>
    </xdr:to>
    <xdr:grpSp>
      <xdr:nvGrpSpPr>
        <xdr:cNvPr id="65" name="Group 64">
          <a:extLst>
            <a:ext uri="{FF2B5EF4-FFF2-40B4-BE49-F238E27FC236}">
              <a16:creationId xmlns:a16="http://schemas.microsoft.com/office/drawing/2014/main" id="{6129C94A-5C25-46A6-8518-AC20E5BA6C34}"/>
            </a:ext>
          </a:extLst>
        </xdr:cNvPr>
        <xdr:cNvGrpSpPr/>
      </xdr:nvGrpSpPr>
      <xdr:grpSpPr>
        <a:xfrm>
          <a:off x="12602239" y="519817"/>
          <a:ext cx="1907371" cy="776219"/>
          <a:chOff x="1943843" y="507920"/>
          <a:chExt cx="1892075" cy="752425"/>
        </a:xfrm>
      </xdr:grpSpPr>
      <xdr:grpSp>
        <xdr:nvGrpSpPr>
          <xdr:cNvPr id="66" name="Group 65">
            <a:extLst>
              <a:ext uri="{FF2B5EF4-FFF2-40B4-BE49-F238E27FC236}">
                <a16:creationId xmlns:a16="http://schemas.microsoft.com/office/drawing/2014/main" id="{77A96B0B-4EED-1DE6-B979-8DBC0C0BD13B}"/>
              </a:ext>
            </a:extLst>
          </xdr:cNvPr>
          <xdr:cNvGrpSpPr/>
        </xdr:nvGrpSpPr>
        <xdr:grpSpPr>
          <a:xfrm>
            <a:off x="1943843" y="507920"/>
            <a:ext cx="1892075" cy="752425"/>
            <a:chOff x="1911993" y="1383223"/>
            <a:chExt cx="1323225" cy="648836"/>
          </a:xfrm>
        </xdr:grpSpPr>
        <xdr:sp macro="" textlink="">
          <xdr:nvSpPr>
            <xdr:cNvPr id="69" name="Rectangle: Rounded Corners 68">
              <a:extLst>
                <a:ext uri="{FF2B5EF4-FFF2-40B4-BE49-F238E27FC236}">
                  <a16:creationId xmlns:a16="http://schemas.microsoft.com/office/drawing/2014/main" id="{9C26776F-174D-2293-AC2E-7B006281FA5E}"/>
                </a:ext>
              </a:extLst>
            </xdr:cNvPr>
            <xdr:cNvSpPr/>
          </xdr:nvSpPr>
          <xdr:spPr>
            <a:xfrm>
              <a:off x="1911993" y="1383223"/>
              <a:ext cx="1323225" cy="647789"/>
            </a:xfrm>
            <a:prstGeom prst="roundRect">
              <a:avLst>
                <a:gd name="adj" fmla="val 10562"/>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0" name="Rectangle: Top Corners Rounded 69">
              <a:extLst>
                <a:ext uri="{FF2B5EF4-FFF2-40B4-BE49-F238E27FC236}">
                  <a16:creationId xmlns:a16="http://schemas.microsoft.com/office/drawing/2014/main" id="{5DEC7392-E9B9-9DC9-E757-E5C38DB833EF}"/>
                </a:ext>
              </a:extLst>
            </xdr:cNvPr>
            <xdr:cNvSpPr/>
          </xdr:nvSpPr>
          <xdr:spPr>
            <a:xfrm rot="16200000">
              <a:off x="1611165" y="1684052"/>
              <a:ext cx="648836" cy="47177"/>
            </a:xfrm>
            <a:prstGeom prst="round2SameRect">
              <a:avLst>
                <a:gd name="adj1" fmla="val 50000"/>
                <a:gd name="adj2" fmla="val 0"/>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sp macro="" textlink="">
        <xdr:nvSpPr>
          <xdr:cNvPr id="67" name="TextBox 66">
            <a:extLst>
              <a:ext uri="{FF2B5EF4-FFF2-40B4-BE49-F238E27FC236}">
                <a16:creationId xmlns:a16="http://schemas.microsoft.com/office/drawing/2014/main" id="{2A1509B7-1F65-60B1-DD20-E3062AD896A4}"/>
              </a:ext>
            </a:extLst>
          </xdr:cNvPr>
          <xdr:cNvSpPr txBox="1"/>
        </xdr:nvSpPr>
        <xdr:spPr>
          <a:xfrm>
            <a:off x="2104482" y="537808"/>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60000"/>
                    <a:lumOff val="40000"/>
                  </a:schemeClr>
                </a:solidFill>
                <a:latin typeface="Aptos Narrow" panose="020B0004020202020204" pitchFamily="34" charset="0"/>
                <a:ea typeface="Calibri"/>
                <a:cs typeface="Calibri"/>
              </a:rPr>
              <a:t>Schools</a:t>
            </a:r>
            <a:r>
              <a:rPr lang="en-US" sz="1050" b="0" i="0" u="none" strike="noStrike" baseline="0">
                <a:solidFill>
                  <a:schemeClr val="accent5">
                    <a:lumMod val="60000"/>
                    <a:lumOff val="40000"/>
                  </a:schemeClr>
                </a:solidFill>
                <a:latin typeface="Aptos Narrow" panose="020B0004020202020204" pitchFamily="34" charset="0"/>
                <a:ea typeface="Calibri"/>
                <a:cs typeface="Calibri"/>
              </a:rPr>
              <a:t> w/ Electricity</a:t>
            </a:r>
            <a:r>
              <a:rPr lang="en-US" sz="1050" b="0" i="0" u="none" strike="noStrike">
                <a:solidFill>
                  <a:schemeClr val="accent5">
                    <a:lumMod val="60000"/>
                    <a:lumOff val="40000"/>
                  </a:schemeClr>
                </a:solidFill>
                <a:latin typeface="Aptos Narrow" panose="020B0004020202020204" pitchFamily="34" charset="0"/>
                <a:ea typeface="Calibri"/>
                <a:cs typeface="Calibri"/>
              </a:rPr>
              <a:t>, %</a:t>
            </a:r>
          </a:p>
        </xdr:txBody>
      </xdr:sp>
      <xdr:sp macro="" textlink="Workings!A31">
        <xdr:nvSpPr>
          <xdr:cNvPr id="68" name="TextBox 67">
            <a:extLst>
              <a:ext uri="{FF2B5EF4-FFF2-40B4-BE49-F238E27FC236}">
                <a16:creationId xmlns:a16="http://schemas.microsoft.com/office/drawing/2014/main" id="{9FB0CCB3-0972-4179-DFD7-FF70FB413F8C}"/>
              </a:ext>
            </a:extLst>
          </xdr:cNvPr>
          <xdr:cNvSpPr txBox="1"/>
        </xdr:nvSpPr>
        <xdr:spPr>
          <a:xfrm>
            <a:off x="2104482" y="865157"/>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2B72B3-E31B-40EF-B5EB-872B944EDEAE}" type="TxLink">
              <a:rPr lang="en-US" sz="2400" b="1" i="0" u="none" strike="noStrike">
                <a:solidFill>
                  <a:schemeClr val="accent5">
                    <a:lumMod val="40000"/>
                    <a:lumOff val="60000"/>
                  </a:schemeClr>
                </a:solidFill>
                <a:latin typeface="Calibri"/>
                <a:ea typeface="Calibri"/>
                <a:cs typeface="Calibri"/>
              </a:rPr>
              <a:t>95.2</a:t>
            </a:fld>
            <a:endParaRPr lang="en-US" sz="59500" b="1" i="0" u="none" strike="noStrike">
              <a:solidFill>
                <a:schemeClr val="accent5">
                  <a:lumMod val="40000"/>
                  <a:lumOff val="60000"/>
                </a:schemeClr>
              </a:solidFill>
              <a:latin typeface="Aptos Narrow" panose="020B0004020202020204" pitchFamily="34" charset="0"/>
              <a:ea typeface="Calibri"/>
              <a:cs typeface="Calibri"/>
            </a:endParaRPr>
          </a:p>
        </xdr:txBody>
      </xdr:sp>
    </xdr:grpSp>
    <xdr:clientData/>
  </xdr:twoCellAnchor>
  <xdr:twoCellAnchor>
    <xdr:from>
      <xdr:col>23</xdr:col>
      <xdr:colOff>439713</xdr:colOff>
      <xdr:row>2</xdr:row>
      <xdr:rowOff>145063</xdr:rowOff>
    </xdr:from>
    <xdr:to>
      <xdr:col>26</xdr:col>
      <xdr:colOff>504543</xdr:colOff>
      <xdr:row>6</xdr:row>
      <xdr:rowOff>171774</xdr:rowOff>
    </xdr:to>
    <xdr:grpSp>
      <xdr:nvGrpSpPr>
        <xdr:cNvPr id="71" name="Group 70">
          <a:extLst>
            <a:ext uri="{FF2B5EF4-FFF2-40B4-BE49-F238E27FC236}">
              <a16:creationId xmlns:a16="http://schemas.microsoft.com/office/drawing/2014/main" id="{20C7BD76-041E-42F1-8A17-080B32313F73}"/>
            </a:ext>
          </a:extLst>
        </xdr:cNvPr>
        <xdr:cNvGrpSpPr/>
      </xdr:nvGrpSpPr>
      <xdr:grpSpPr>
        <a:xfrm>
          <a:off x="14565861" y="519817"/>
          <a:ext cx="1907371" cy="776219"/>
          <a:chOff x="1943843" y="507920"/>
          <a:chExt cx="1892075" cy="752425"/>
        </a:xfrm>
      </xdr:grpSpPr>
      <xdr:grpSp>
        <xdr:nvGrpSpPr>
          <xdr:cNvPr id="72" name="Group 71">
            <a:extLst>
              <a:ext uri="{FF2B5EF4-FFF2-40B4-BE49-F238E27FC236}">
                <a16:creationId xmlns:a16="http://schemas.microsoft.com/office/drawing/2014/main" id="{3D90B11F-4693-8631-5E61-EF06E5336F19}"/>
              </a:ext>
            </a:extLst>
          </xdr:cNvPr>
          <xdr:cNvGrpSpPr/>
        </xdr:nvGrpSpPr>
        <xdr:grpSpPr>
          <a:xfrm>
            <a:off x="1943843" y="507920"/>
            <a:ext cx="1892075" cy="752425"/>
            <a:chOff x="1911993" y="1383223"/>
            <a:chExt cx="1323225" cy="648836"/>
          </a:xfrm>
        </xdr:grpSpPr>
        <xdr:sp macro="" textlink="">
          <xdr:nvSpPr>
            <xdr:cNvPr id="75" name="Rectangle: Rounded Corners 74">
              <a:extLst>
                <a:ext uri="{FF2B5EF4-FFF2-40B4-BE49-F238E27FC236}">
                  <a16:creationId xmlns:a16="http://schemas.microsoft.com/office/drawing/2014/main" id="{832D578D-46C7-9C0D-48D6-37FDB29C3A73}"/>
                </a:ext>
              </a:extLst>
            </xdr:cNvPr>
            <xdr:cNvSpPr/>
          </xdr:nvSpPr>
          <xdr:spPr>
            <a:xfrm>
              <a:off x="1911993" y="1383223"/>
              <a:ext cx="1323225" cy="647789"/>
            </a:xfrm>
            <a:prstGeom prst="roundRect">
              <a:avLst>
                <a:gd name="adj" fmla="val 10562"/>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6" name="Rectangle: Top Corners Rounded 75">
              <a:extLst>
                <a:ext uri="{FF2B5EF4-FFF2-40B4-BE49-F238E27FC236}">
                  <a16:creationId xmlns:a16="http://schemas.microsoft.com/office/drawing/2014/main" id="{8F12C8F4-13E9-09D0-79C4-B971B4422CE7}"/>
                </a:ext>
              </a:extLst>
            </xdr:cNvPr>
            <xdr:cNvSpPr/>
          </xdr:nvSpPr>
          <xdr:spPr>
            <a:xfrm rot="16200000">
              <a:off x="1611165" y="1684052"/>
              <a:ext cx="648836" cy="47177"/>
            </a:xfrm>
            <a:prstGeom prst="round2SameRect">
              <a:avLst>
                <a:gd name="adj1" fmla="val 50000"/>
                <a:gd name="adj2" fmla="val 0"/>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sp macro="" textlink="">
        <xdr:nvSpPr>
          <xdr:cNvPr id="73" name="TextBox 72">
            <a:extLst>
              <a:ext uri="{FF2B5EF4-FFF2-40B4-BE49-F238E27FC236}">
                <a16:creationId xmlns:a16="http://schemas.microsoft.com/office/drawing/2014/main" id="{9DD3904E-07E1-3CCA-BB58-357C2BAD2F21}"/>
              </a:ext>
            </a:extLst>
          </xdr:cNvPr>
          <xdr:cNvSpPr txBox="1"/>
        </xdr:nvSpPr>
        <xdr:spPr>
          <a:xfrm>
            <a:off x="2104482" y="537808"/>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accent5">
                    <a:lumMod val="60000"/>
                    <a:lumOff val="40000"/>
                  </a:schemeClr>
                </a:solidFill>
                <a:latin typeface="Aptos Narrow" panose="020B0004020202020204" pitchFamily="34" charset="0"/>
                <a:ea typeface="Calibri"/>
                <a:cs typeface="Calibri"/>
              </a:rPr>
              <a:t>Schools</a:t>
            </a:r>
            <a:r>
              <a:rPr lang="en-US" sz="1050" b="0" i="0" u="none" strike="noStrike" baseline="0">
                <a:solidFill>
                  <a:schemeClr val="accent5">
                    <a:lumMod val="60000"/>
                    <a:lumOff val="40000"/>
                  </a:schemeClr>
                </a:solidFill>
                <a:latin typeface="Aptos Narrow" panose="020B0004020202020204" pitchFamily="34" charset="0"/>
                <a:ea typeface="Calibri"/>
                <a:cs typeface="Calibri"/>
              </a:rPr>
              <a:t> w/ Water</a:t>
            </a:r>
            <a:r>
              <a:rPr lang="en-US" sz="1050" b="0" i="0" u="none" strike="noStrike">
                <a:solidFill>
                  <a:schemeClr val="accent5">
                    <a:lumMod val="60000"/>
                    <a:lumOff val="40000"/>
                  </a:schemeClr>
                </a:solidFill>
                <a:latin typeface="Aptos Narrow" panose="020B0004020202020204" pitchFamily="34" charset="0"/>
                <a:ea typeface="Calibri"/>
                <a:cs typeface="Calibri"/>
              </a:rPr>
              <a:t>, %</a:t>
            </a:r>
          </a:p>
        </xdr:txBody>
      </xdr:sp>
      <xdr:sp macro="" textlink="Workings!A41">
        <xdr:nvSpPr>
          <xdr:cNvPr id="74" name="TextBox 73">
            <a:extLst>
              <a:ext uri="{FF2B5EF4-FFF2-40B4-BE49-F238E27FC236}">
                <a16:creationId xmlns:a16="http://schemas.microsoft.com/office/drawing/2014/main" id="{69646C05-F67E-0C91-F939-577A784F70B6}"/>
              </a:ext>
            </a:extLst>
          </xdr:cNvPr>
          <xdr:cNvSpPr txBox="1"/>
        </xdr:nvSpPr>
        <xdr:spPr>
          <a:xfrm>
            <a:off x="2104482" y="865157"/>
            <a:ext cx="1671736" cy="327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3C6A7F5-7A23-42B7-87F3-E111908C6EE0}" type="TxLink">
              <a:rPr lang="en-US" sz="2400" b="1" i="0" u="none" strike="noStrike">
                <a:solidFill>
                  <a:schemeClr val="accent5">
                    <a:lumMod val="40000"/>
                    <a:lumOff val="60000"/>
                  </a:schemeClr>
                </a:solidFill>
                <a:latin typeface="Calibri"/>
                <a:ea typeface="Calibri"/>
                <a:cs typeface="Calibri"/>
              </a:rPr>
              <a:t>94.9</a:t>
            </a:fld>
            <a:endParaRPr lang="en-US" sz="177700" b="1" i="0" u="none" strike="noStrike">
              <a:solidFill>
                <a:schemeClr val="accent5">
                  <a:lumMod val="40000"/>
                  <a:lumOff val="60000"/>
                </a:schemeClr>
              </a:solidFill>
              <a:latin typeface="Aptos Narrow" panose="020B0004020202020204" pitchFamily="34" charset="0"/>
              <a:ea typeface="Calibri"/>
              <a:cs typeface="Calibri"/>
            </a:endParaRPr>
          </a:p>
        </xdr:txBody>
      </xdr:sp>
    </xdr:grpSp>
    <xdr:clientData/>
  </xdr:twoCellAnchor>
  <xdr:twoCellAnchor>
    <xdr:from>
      <xdr:col>19</xdr:col>
      <xdr:colOff>99702</xdr:colOff>
      <xdr:row>7</xdr:row>
      <xdr:rowOff>58207</xdr:rowOff>
    </xdr:from>
    <xdr:to>
      <xdr:col>26</xdr:col>
      <xdr:colOff>511734</xdr:colOff>
      <xdr:row>31</xdr:row>
      <xdr:rowOff>171521</xdr:rowOff>
    </xdr:to>
    <xdr:sp macro="" textlink="">
      <xdr:nvSpPr>
        <xdr:cNvPr id="78" name="Rectangle: Rounded Corners 77">
          <a:extLst>
            <a:ext uri="{FF2B5EF4-FFF2-40B4-BE49-F238E27FC236}">
              <a16:creationId xmlns:a16="http://schemas.microsoft.com/office/drawing/2014/main" id="{C94C74B0-408A-4329-8069-65D42F41EA97}"/>
            </a:ext>
          </a:extLst>
        </xdr:cNvPr>
        <xdr:cNvSpPr/>
      </xdr:nvSpPr>
      <xdr:spPr>
        <a:xfrm>
          <a:off x="11682102" y="1391707"/>
          <a:ext cx="4679232" cy="4685314"/>
        </a:xfrm>
        <a:prstGeom prst="roundRect">
          <a:avLst>
            <a:gd name="adj" fmla="val 1874"/>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2800">
            <a:solidFill>
              <a:schemeClr val="bg2">
                <a:lumMod val="90000"/>
              </a:schemeClr>
            </a:solidFill>
            <a:latin typeface="Aptos Narrow" panose="020B0004020202020204" pitchFamily="34" charset="0"/>
            <a:ea typeface="+mn-ea"/>
            <a:cs typeface="+mn-cs"/>
          </a:endParaRPr>
        </a:p>
      </xdr:txBody>
    </xdr:sp>
    <xdr:clientData/>
  </xdr:twoCellAnchor>
  <xdr:twoCellAnchor>
    <xdr:from>
      <xdr:col>19</xdr:col>
      <xdr:colOff>71618</xdr:colOff>
      <xdr:row>14</xdr:row>
      <xdr:rowOff>52914</xdr:rowOff>
    </xdr:from>
    <xdr:to>
      <xdr:col>26</xdr:col>
      <xdr:colOff>362024</xdr:colOff>
      <xdr:row>29</xdr:row>
      <xdr:rowOff>47389</xdr:rowOff>
    </xdr:to>
    <xdr:graphicFrame macro="">
      <xdr:nvGraphicFramePr>
        <xdr:cNvPr id="77" name="Chart 76">
          <a:extLst>
            <a:ext uri="{FF2B5EF4-FFF2-40B4-BE49-F238E27FC236}">
              <a16:creationId xmlns:a16="http://schemas.microsoft.com/office/drawing/2014/main" id="{03D2785B-D55A-44EF-AE76-FF74DA5F4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137696</xdr:colOff>
      <xdr:row>8</xdr:row>
      <xdr:rowOff>144202</xdr:rowOff>
    </xdr:from>
    <xdr:to>
      <xdr:col>25</xdr:col>
      <xdr:colOff>518465</xdr:colOff>
      <xdr:row>12</xdr:row>
      <xdr:rowOff>34659</xdr:rowOff>
    </xdr:to>
    <xdr:sp macro="" textlink="">
      <xdr:nvSpPr>
        <xdr:cNvPr id="79" name="TextBox 78">
          <a:extLst>
            <a:ext uri="{FF2B5EF4-FFF2-40B4-BE49-F238E27FC236}">
              <a16:creationId xmlns:a16="http://schemas.microsoft.com/office/drawing/2014/main" id="{883AC50B-9A9D-4F67-9BDB-4B39D14E66A9}"/>
            </a:ext>
          </a:extLst>
        </xdr:cNvPr>
        <xdr:cNvSpPr txBox="1"/>
      </xdr:nvSpPr>
      <xdr:spPr>
        <a:xfrm>
          <a:off x="12301076" y="1646737"/>
          <a:ext cx="3421614" cy="64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i="0" u="none" strike="noStrike">
              <a:solidFill>
                <a:schemeClr val="accent5">
                  <a:lumMod val="40000"/>
                  <a:lumOff val="60000"/>
                </a:schemeClr>
              </a:solidFill>
              <a:latin typeface="Aptos Narrow" panose="020B0004020202020204" pitchFamily="34" charset="0"/>
              <a:ea typeface="Calibri"/>
              <a:cs typeface="Calibri"/>
            </a:rPr>
            <a:t>Dropout Rate</a:t>
          </a:r>
          <a:r>
            <a:rPr lang="en-US" sz="1050" b="0" i="0" u="none" strike="noStrike" baseline="0">
              <a:solidFill>
                <a:schemeClr val="accent5">
                  <a:lumMod val="40000"/>
                  <a:lumOff val="60000"/>
                </a:schemeClr>
              </a:solidFill>
              <a:latin typeface="Aptos Narrow" panose="020B0004020202020204" pitchFamily="34" charset="0"/>
              <a:ea typeface="Calibri"/>
              <a:cs typeface="Calibri"/>
            </a:rPr>
            <a:t> and Gross Enrollment Ratio Over Time, %</a:t>
          </a:r>
          <a:endParaRPr lang="en-US" sz="1050" b="0" i="0" u="none" strike="noStrike">
            <a:solidFill>
              <a:schemeClr val="accent5">
                <a:lumMod val="40000"/>
                <a:lumOff val="60000"/>
              </a:schemeClr>
            </a:solidFill>
            <a:latin typeface="Aptos Narrow" panose="020B0004020202020204" pitchFamily="34" charset="0"/>
            <a:ea typeface="Calibri"/>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nuj Sharma" refreshedDate="45845.519207754631" createdVersion="8" refreshedVersion="8" minRefreshableVersion="3" recordCount="126" xr:uid="{9C22D776-9CE5-4F1B-A007-6D7AC94C81C4}">
  <cacheSource type="worksheet">
    <worksheetSource name="tblMain"/>
  </cacheSource>
  <cacheFields count="33">
    <cacheField name="State_UT" numFmtId="0">
      <sharedItems count="36">
        <s v="Andaman &amp; Nicobar Islands"/>
        <s v="Andhra Pradesh"/>
        <s v="Arunachal Pradesh"/>
        <s v="Assam"/>
        <s v="Bihar"/>
        <s v="Chandigarh"/>
        <s v="Chhattisgarh"/>
        <s v="Dadra and Nagar Haveli"/>
        <s v="Daman and Diu"/>
        <s v="Delhi"/>
        <s v="Goa"/>
        <s v="Gujarat"/>
        <s v="Haryana"/>
        <s v="Himachal Pradesh"/>
        <s v="Jammu &amp; Kashmir"/>
        <s v="Jharkhand"/>
        <s v="Karnataka"/>
        <s v="Kerala"/>
        <s v="Lakshadweep"/>
        <s v="Madhya Pradesh"/>
        <s v="Maharashtra"/>
        <s v="Manipur"/>
        <s v="Meghalaya"/>
        <s v="Mizoram"/>
        <s v="Nagaland"/>
        <s v="Odisha"/>
        <s v="Puducherry"/>
        <s v="Punjab"/>
        <s v="Rajasthan"/>
        <s v="Sikkim"/>
        <s v="Tamil Nadu"/>
        <s v="Telangana"/>
        <s v="Tripura"/>
        <s v="Uttar Pradesh"/>
        <s v="Uttarakhand"/>
        <s v="West Bengal"/>
      </sharedItems>
    </cacheField>
    <cacheField name="Year" numFmtId="0">
      <sharedItems count="4">
        <s v="2012-13"/>
        <s v="2013-14"/>
        <s v="2014-15"/>
        <s v="2015-16"/>
      </sharedItems>
    </cacheField>
    <cacheField name="Primary_Boys" numFmtId="0">
      <sharedItems containsMixedTypes="1" containsNumber="1" minValue="0.2" maxValue="19.100000000000001"/>
    </cacheField>
    <cacheField name="Primary_Girls" numFmtId="0">
      <sharedItems containsMixedTypes="1" containsNumber="1" minValue="0.3" maxValue="19.7"/>
    </cacheField>
    <cacheField name="Primary_Total" numFmtId="0">
      <sharedItems containsMixedTypes="1" containsNumber="1" minValue="0.3" maxValue="19.399999999999999"/>
    </cacheField>
    <cacheField name="Upper_Primary_Boys" numFmtId="0">
      <sharedItems containsMixedTypes="1" containsNumber="1" minValue="0.3" maxValue="18.100000000000001"/>
    </cacheField>
    <cacheField name="Upper_Primary_Girls" numFmtId="0">
      <sharedItems containsMixedTypes="1" containsNumber="1" minValue="0.2" maxValue="17.600000000000001"/>
    </cacheField>
    <cacheField name="Upper_Primary_Total" numFmtId="0">
      <sharedItems containsMixedTypes="1" containsNumber="1" minValue="0.1" maxValue="17.899999999999999"/>
    </cacheField>
    <cacheField name="Secondary_Boys" numFmtId="0">
      <sharedItems containsMixedTypes="1" containsNumber="1" minValue="5.6" maxValue="40.700000000000003"/>
    </cacheField>
    <cacheField name="Secondary_Girls" numFmtId="0">
      <sharedItems containsMixedTypes="1" containsNumber="1" minValue="5.6" maxValue="39.1"/>
    </cacheField>
    <cacheField name="Secondary_Total" numFmtId="0">
      <sharedItems containsMixedTypes="1" containsNumber="1" minValue="5.6" maxValue="39.9"/>
    </cacheField>
    <cacheField name="HrSecondary_Boys" numFmtId="0">
      <sharedItems containsMixedTypes="1" containsNumber="1" minValue="0.5" maxValue="44.4"/>
    </cacheField>
    <cacheField name="HrSecondary_Girls" numFmtId="0">
      <sharedItems containsMixedTypes="1" containsNumber="1" minValue="0.3" maxValue="36.1"/>
    </cacheField>
    <cacheField name="HrSecondary_Total" numFmtId="0">
      <sharedItems containsMixedTypes="1" containsNumber="1" minValue="0.4" maxValue="40.5"/>
    </cacheField>
    <cacheField name="Average Dropout" numFmtId="164">
      <sharedItems containsMixedTypes="1" containsNumber="1" minValue="3.15" maxValue="21.650000000000002" count="60">
        <n v="5.4"/>
        <n v="6.2"/>
        <n v="7.25"/>
        <s v="NULL"/>
        <n v="4.9249999999999989"/>
        <n v="8.1750000000000007"/>
        <n v="12.025"/>
        <n v="10.175000000000001"/>
        <n v="13.25"/>
        <n v="11.225000000000001"/>
        <n v="13.025"/>
        <n v="8.2249999999999996"/>
        <n v="10.125"/>
        <n v="7.95"/>
        <n v="8.5749999999999993"/>
        <n v="19.25"/>
        <n v="6.4749999999999996"/>
        <n v="5"/>
        <n v="8.9499999999999993"/>
        <n v="9.8249999999999993"/>
        <n v="4.4249999999999998"/>
        <n v="8.2749999999999986"/>
        <n v="4.5999999999999996"/>
        <n v="4.375"/>
        <n v="3.75"/>
        <n v="9.9499999999999993"/>
        <n v="8.2000000000000011"/>
        <n v="10.55"/>
        <n v="10.475"/>
        <n v="15.824999999999999"/>
        <n v="8.5250000000000004"/>
        <n v="12.475"/>
        <n v="5.5249999999999995"/>
        <n v="4.75"/>
        <n v="4.45"/>
        <n v="8.4250000000000007"/>
        <n v="10.5"/>
        <n v="10.924999999999999"/>
        <n v="15.425000000000001"/>
        <n v="21.650000000000002"/>
        <n v="9.6750000000000007"/>
        <n v="5.375"/>
        <n v="6.6749999999999998"/>
        <n v="5.7250000000000005"/>
        <n v="4.7"/>
        <n v="5.25"/>
        <n v="6.0250000000000004"/>
        <n v="8.875"/>
        <n v="7.9"/>
        <n v="4.3499999999999996"/>
        <n v="10.324999999999999"/>
        <n v="5.1749999999999998"/>
        <n v="9.9250000000000007"/>
        <n v="10.15"/>
        <n v="5.9"/>
        <n v="3.15"/>
        <n v="4.6500000000000004"/>
        <n v="9.2249999999999996"/>
        <n v="8.35"/>
        <n v="7.9250000000000007"/>
      </sharedItems>
    </cacheField>
    <cacheField name="GER_Primary_Boys" numFmtId="0">
      <sharedItems containsMixedTypes="1" containsNumber="1" minValue="77.400000000000006" maxValue="145.69999999999999"/>
    </cacheField>
    <cacheField name="GER_Primary_Girls" numFmtId="0">
      <sharedItems containsMixedTypes="1" containsNumber="1" minValue="69.900000000000006" maxValue="152.80000000000001"/>
    </cacheField>
    <cacheField name="GER_Primary_Total" numFmtId="0">
      <sharedItems containsMixedTypes="1" containsNumber="1" minValue="73.8" maxValue="149.19999999999999"/>
    </cacheField>
    <cacheField name="GER_Upper_Primary_Boys" numFmtId="0">
      <sharedItems containsMixedTypes="1" containsNumber="1" minValue="67.3" maxValue="143.69999999999999"/>
    </cacheField>
    <cacheField name="GER_Upper_Primary_Girls" numFmtId="0">
      <sharedItems containsMixedTypes="1" containsNumber="1" minValue="71.900000000000006" maxValue="157.9"/>
    </cacheField>
    <cacheField name="GER_Upper_Primary_Total" numFmtId="0">
      <sharedItems containsMixedTypes="1" containsNumber="1" minValue="70.2" maxValue="150.6"/>
    </cacheField>
    <cacheField name="GER_Secondary_Boys" numFmtId="0">
      <sharedItems containsMixedTypes="1" containsNumber="1" minValue="57.7" maxValue="122.8"/>
    </cacheField>
    <cacheField name="GER_Secondary_Girls" numFmtId="0">
      <sharedItems containsMixedTypes="1" containsNumber="1" minValue="63" maxValue="135.4"/>
    </cacheField>
    <cacheField name="GER_Secondary_Total" numFmtId="0">
      <sharedItems containsMixedTypes="1" containsNumber="1" minValue="60.1" maxValue="127.6"/>
    </cacheField>
    <cacheField name="GER_HrSecondary_Boys" numFmtId="0">
      <sharedItems containsMixedTypes="1" containsNumber="1" minValue="16.3" maxValue="110.1"/>
    </cacheField>
    <cacheField name="GER_HrSecondary_Girls" numFmtId="0">
      <sharedItems containsMixedTypes="1" containsNumber="1" minValue="20" maxValue="102.4"/>
    </cacheField>
    <cacheField name="GER_HrSecondary_Total" numFmtId="0">
      <sharedItems containsMixedTypes="1" containsNumber="1" minValue="18.399999999999999" maxValue="101.3"/>
    </cacheField>
    <cacheField name="Schools_With_Boys_Toilet" numFmtId="0">
      <sharedItems containsMixedTypes="1" containsNumber="1" minValue="48.7" maxValue="100"/>
    </cacheField>
    <cacheField name="Average GER" numFmtId="0">
      <sharedItems containsMixedTypes="1" containsNumber="1" minValue="66.625" maxValue="112.30000000000001" count="105">
        <s v="NULL"/>
        <n v="95.625"/>
        <n v="90.974999999999994"/>
        <n v="84.025000000000006"/>
        <n v="79.075000000000003"/>
        <n v="75.900000000000006"/>
        <n v="73.025000000000006"/>
        <n v="98.625"/>
        <n v="102.9"/>
        <n v="102.02500000000001"/>
        <n v="78"/>
        <n v="79.074999999999989"/>
        <n v="80.274999999999991"/>
        <n v="67.375"/>
        <n v="82.674999999999997"/>
        <n v="74.999999999999986"/>
        <n v="94.549999999999983"/>
        <n v="87.725000000000009"/>
        <n v="91.6"/>
        <n v="92.175000000000011"/>
        <n v="89.724999999999994"/>
        <n v="87.075000000000017"/>
        <n v="76.924999999999997"/>
        <n v="78.675000000000011"/>
        <n v="78.55"/>
        <n v="75.025000000000006"/>
        <n v="66.625"/>
        <n v="109.575"/>
        <n v="107.30000000000001"/>
        <n v="108.7"/>
        <n v="100.1"/>
        <n v="97.5"/>
        <n v="96.775000000000006"/>
        <n v="77.45"/>
        <n v="77.150000000000006"/>
        <n v="77.099999999999994"/>
        <n v="86.050000000000011"/>
        <n v="85.3"/>
        <n v="81.875"/>
        <n v="104.67500000000001"/>
        <n v="104.425"/>
        <n v="101.72499999999999"/>
        <n v="67.8"/>
        <n v="69.825000000000003"/>
        <n v="69.75"/>
        <n v="82.350000000000009"/>
        <n v="79.900000000000006"/>
        <n v="83.65"/>
        <n v="78.050000000000011"/>
        <n v="72.575000000000003"/>
        <n v="80.625"/>
        <n v="96.375"/>
        <n v="93.9"/>
        <n v="93.824999999999989"/>
        <n v="96.549999999999983"/>
        <n v="90.800000000000011"/>
        <n v="92.674999999999997"/>
        <n v="84.375"/>
        <n v="78.05"/>
        <n v="80.199999999999989"/>
        <n v="85.2"/>
        <n v="87.15"/>
        <n v="88.399999999999991"/>
        <n v="101.425"/>
        <n v="104.675"/>
        <n v="101.57499999999999"/>
        <n v="86.399999999999991"/>
        <n v="102.77500000000001"/>
        <n v="95.424999999999997"/>
        <n v="105"/>
        <n v="103.29999999999998"/>
        <n v="106.175"/>
        <n v="80.5"/>
        <n v="73.975000000000009"/>
        <n v="77.449999999999989"/>
        <n v="78.425000000000011"/>
        <n v="93.149999999999991"/>
        <n v="89.075000000000003"/>
        <n v="86.95"/>
        <n v="89.674999999999983"/>
        <n v="89.474999999999994"/>
        <n v="89.725000000000009"/>
        <n v="77.325000000000003"/>
        <n v="79.849999999999994"/>
        <n v="77.149999999999991"/>
        <n v="108.05000000000001"/>
        <n v="110.32499999999999"/>
        <n v="112.30000000000001"/>
        <n v="94.474999999999994"/>
        <n v="95.6"/>
        <n v="93.825000000000003"/>
        <n v="84.525000000000006"/>
        <n v="84.949999999999989"/>
        <n v="95.3"/>
        <n v="97.800000000000011"/>
        <n v="99"/>
        <n v="74.825000000000003"/>
        <n v="73.924999999999997"/>
        <n v="73.600000000000009"/>
        <n v="89.35"/>
        <n v="87.9"/>
        <n v="87.6"/>
        <n v="81.849999999999994"/>
        <n v="83.875"/>
        <n v="86.674999999999983"/>
      </sharedItems>
    </cacheField>
    <cacheField name="Schools_With_Girls_Toilet" numFmtId="0">
      <sharedItems containsMixedTypes="1" containsNumber="1" minValue="51" maxValue="100"/>
    </cacheField>
    <cacheField name="Schools_With_Computer" numFmtId="0">
      <sharedItems containsMixedTypes="1" containsNumber="1" minValue="5.5" maxValue="100"/>
    </cacheField>
    <cacheField name="Schools_With_Electricity" numFmtId="0">
      <sharedItems containsMixedTypes="1" containsNumber="1" minValue="10" maxValue="100"/>
    </cacheField>
    <cacheField name="Schools_With_Water" numFmtId="0">
      <sharedItems containsMixedTypes="1" containsNumber="1" minValue="61.8" maxValue="100"/>
    </cacheField>
  </cacheFields>
  <extLst>
    <ext xmlns:x14="http://schemas.microsoft.com/office/spreadsheetml/2009/9/main" uri="{725AE2AE-9491-48be-B2B4-4EB974FC3084}">
      <x14:pivotCacheDefinition pivotCacheId="19297737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
  <r>
    <x v="0"/>
    <x v="0"/>
    <n v="0.8"/>
    <n v="0.5"/>
    <n v="0.7"/>
    <n v="3.9"/>
    <n v="1.1000000000000001"/>
    <n v="1.2"/>
    <n v="5.6"/>
    <n v="5.6"/>
    <n v="5.6"/>
    <n v="17.7"/>
    <n v="10.199999999999999"/>
    <n v="14.1"/>
    <x v="0"/>
    <s v="NULL"/>
    <s v="NULL"/>
    <s v="NULL"/>
    <s v="NULL"/>
    <s v="NULL"/>
    <s v="NULL"/>
    <s v="NULL"/>
    <s v="NULL"/>
    <s v="NULL"/>
    <s v="NULL"/>
    <s v="NULL"/>
    <s v="NULL"/>
    <s v="NULL"/>
    <x v="0"/>
    <s v="NULL"/>
    <s v="NULL"/>
    <s v="NULL"/>
    <s v="NULL"/>
  </r>
  <r>
    <x v="0"/>
    <x v="1"/>
    <n v="1.4"/>
    <n v="1.1000000000000001"/>
    <n v="1.2"/>
    <n v="4.9000000000000004"/>
    <n v="1.5"/>
    <n v="0.5"/>
    <n v="8.4"/>
    <n v="6"/>
    <n v="7.2"/>
    <n v="18.899999999999999"/>
    <n v="12.2"/>
    <n v="15.9"/>
    <x v="1"/>
    <n v="95.9"/>
    <n v="92"/>
    <n v="93.9"/>
    <n v="94.7"/>
    <n v="89"/>
    <n v="91.8"/>
    <n v="102.9"/>
    <n v="97.4"/>
    <n v="100.2"/>
    <n v="105.4"/>
    <n v="96.6"/>
    <n v="101.3"/>
    <n v="94.5"/>
    <x v="1"/>
    <n v="93.4"/>
    <n v="53.1"/>
    <n v="88.9"/>
    <n v="98.7"/>
  </r>
  <r>
    <x v="0"/>
    <x v="2"/>
    <n v="0.5"/>
    <n v="0.6"/>
    <n v="0.5"/>
    <n v="1.4"/>
    <n v="2"/>
    <n v="1.7"/>
    <n v="11.5"/>
    <n v="8.1999999999999993"/>
    <n v="9.9"/>
    <n v="21.1"/>
    <n v="12.2"/>
    <n v="16.899999999999999"/>
    <x v="2"/>
    <n v="92.9"/>
    <n v="88.9"/>
    <n v="90.9"/>
    <n v="90.6"/>
    <n v="84.7"/>
    <n v="87.6"/>
    <n v="95.6"/>
    <n v="90.1"/>
    <n v="92.9"/>
    <n v="98.7"/>
    <n v="92.5"/>
    <n v="95.7"/>
    <n v="100"/>
    <x v="2"/>
    <n v="100"/>
    <n v="57.3"/>
    <n v="88.9"/>
    <n v="99.5"/>
  </r>
  <r>
    <x v="0"/>
    <x v="3"/>
    <s v="NULL"/>
    <s v="NULL"/>
    <s v="NULL"/>
    <s v="NULL"/>
    <s v="NULL"/>
    <s v="NULL"/>
    <s v="NULL"/>
    <s v="NULL"/>
    <s v="NULL"/>
    <s v="NULL"/>
    <s v="NULL"/>
    <s v="NULL"/>
    <x v="3"/>
    <n v="91.1"/>
    <n v="86.8"/>
    <n v="88.9"/>
    <n v="86.4"/>
    <n v="82"/>
    <n v="84.1"/>
    <n v="89.1"/>
    <n v="84.3"/>
    <n v="86.7"/>
    <n v="72.900000000000006"/>
    <n v="76.400000000000006"/>
    <n v="74.599999999999994"/>
    <n v="100"/>
    <x v="3"/>
    <n v="100"/>
    <n v="57"/>
    <n v="90.1"/>
    <n v="100"/>
  </r>
  <r>
    <x v="1"/>
    <x v="0"/>
    <n v="3.3"/>
    <n v="3.1"/>
    <n v="3.2"/>
    <n v="3.2"/>
    <n v="3.5"/>
    <n v="3.4"/>
    <n v="12.2"/>
    <n v="13.3"/>
    <n v="12.7"/>
    <n v="2.7"/>
    <n v="6.7"/>
    <n v="0.4"/>
    <x v="4"/>
    <s v="NULL"/>
    <s v="NULL"/>
    <s v="NULL"/>
    <s v="NULL"/>
    <s v="NULL"/>
    <s v="NULL"/>
    <s v="NULL"/>
    <s v="NULL"/>
    <s v="NULL"/>
    <s v="NULL"/>
    <s v="NULL"/>
    <s v="NULL"/>
    <s v="NULL"/>
    <x v="0"/>
    <s v="NULL"/>
    <s v="NULL"/>
    <s v="NULL"/>
    <s v="NULL"/>
  </r>
  <r>
    <x v="1"/>
    <x v="1"/>
    <n v="4.3"/>
    <n v="4.4000000000000004"/>
    <n v="4.4000000000000004"/>
    <n v="3.5"/>
    <n v="4.0999999999999996"/>
    <n v="3.8"/>
    <n v="12"/>
    <n v="13.4"/>
    <n v="12.7"/>
    <n v="12.7"/>
    <n v="10.9"/>
    <n v="11.8"/>
    <x v="5"/>
    <n v="96.6"/>
    <n v="96.9"/>
    <n v="96.7"/>
    <n v="82.8"/>
    <n v="84.4"/>
    <n v="83.6"/>
    <n v="73.8"/>
    <n v="76.8"/>
    <n v="75.2"/>
    <n v="59.8"/>
    <n v="60.8"/>
    <n v="60.3"/>
    <n v="56.9"/>
    <x v="4"/>
    <n v="81.3"/>
    <n v="29.6"/>
    <n v="90.3"/>
    <n v="90.4"/>
  </r>
  <r>
    <x v="1"/>
    <x v="3"/>
    <s v="NULL"/>
    <s v="NULL"/>
    <s v="NULL"/>
    <s v="NULL"/>
    <s v="NULL"/>
    <s v="NULL"/>
    <s v="NULL"/>
    <s v="NULL"/>
    <s v="NULL"/>
    <s v="NULL"/>
    <s v="NULL"/>
    <s v="NULL"/>
    <x v="3"/>
    <n v="84.9"/>
    <n v="84.1"/>
    <n v="84.5"/>
    <n v="81.099999999999994"/>
    <n v="81.599999999999994"/>
    <n v="81.3"/>
    <n v="74.599999999999994"/>
    <n v="76.5"/>
    <n v="75.5"/>
    <n v="58.3"/>
    <n v="62.3"/>
    <n v="60.2"/>
    <n v="99.7"/>
    <x v="5"/>
    <n v="99.7"/>
    <n v="30.6"/>
    <n v="93.5"/>
    <n v="95.4"/>
  </r>
  <r>
    <x v="1"/>
    <x v="2"/>
    <s v="NULL"/>
    <s v="NULL"/>
    <s v="NULL"/>
    <s v="NULL"/>
    <s v="NULL"/>
    <s v="NULL"/>
    <s v="NULL"/>
    <s v="NULL"/>
    <s v="NULL"/>
    <s v="NULL"/>
    <s v="NULL"/>
    <s v="NULL"/>
    <x v="3"/>
    <n v="88.3"/>
    <n v="88.1"/>
    <n v="88.2"/>
    <n v="79.3"/>
    <n v="79.599999999999994"/>
    <n v="79.5"/>
    <n v="71.5"/>
    <n v="73.400000000000006"/>
    <n v="72.400000000000006"/>
    <n v="51.3"/>
    <n v="52"/>
    <n v="51.6"/>
    <n v="65.3"/>
    <x v="6"/>
    <n v="98.1"/>
    <n v="28.1"/>
    <n v="92.8"/>
    <n v="93.7"/>
  </r>
  <r>
    <x v="2"/>
    <x v="1"/>
    <n v="11.5"/>
    <n v="10.199999999999999"/>
    <n v="10.9"/>
    <n v="4.4000000000000004"/>
    <n v="6.7"/>
    <n v="5.6"/>
    <n v="16.100000000000001"/>
    <n v="12.8"/>
    <n v="14.5"/>
    <n v="18.600000000000001"/>
    <n v="15.5"/>
    <n v="17.100000000000001"/>
    <x v="6"/>
    <n v="129.1"/>
    <n v="127.8"/>
    <n v="128.5"/>
    <n v="112.6"/>
    <n v="115.3"/>
    <n v="113.9"/>
    <n v="88.4"/>
    <n v="84.9"/>
    <n v="86.7"/>
    <n v="65.2"/>
    <n v="65.400000000000006"/>
    <n v="65.3"/>
    <n v="48.7"/>
    <x v="7"/>
    <n v="76.900000000000006"/>
    <n v="24.3"/>
    <n v="36.4"/>
    <n v="79.8"/>
  </r>
  <r>
    <x v="2"/>
    <x v="0"/>
    <n v="15.8"/>
    <n v="14.4"/>
    <n v="15.2"/>
    <n v="5.9"/>
    <n v="9.1"/>
    <n v="7.5"/>
    <n v="14"/>
    <n v="11.8"/>
    <n v="12.9"/>
    <n v="7.9"/>
    <n v="2.1"/>
    <n v="5.0999999999999996"/>
    <x v="7"/>
    <s v="NULL"/>
    <s v="NULL"/>
    <s v="NULL"/>
    <s v="NULL"/>
    <s v="NULL"/>
    <s v="NULL"/>
    <s v="NULL"/>
    <s v="NULL"/>
    <s v="NULL"/>
    <s v="NULL"/>
    <s v="NULL"/>
    <s v="NULL"/>
    <s v="NULL"/>
    <x v="0"/>
    <s v="NULL"/>
    <s v="NULL"/>
    <s v="NULL"/>
    <s v="NULL"/>
  </r>
  <r>
    <x v="2"/>
    <x v="2"/>
    <n v="11.5"/>
    <n v="10.1"/>
    <n v="10.8"/>
    <n v="5.3"/>
    <n v="8.1"/>
    <n v="6.7"/>
    <n v="18.3"/>
    <n v="15.8"/>
    <n v="17.100000000000001"/>
    <n v="19.399999999999999"/>
    <n v="17.399999999999999"/>
    <n v="18.399999999999999"/>
    <x v="8"/>
    <n v="128.80000000000001"/>
    <n v="127.5"/>
    <n v="128.1"/>
    <n v="120.1"/>
    <n v="125"/>
    <n v="122.5"/>
    <n v="93.1"/>
    <n v="90.1"/>
    <n v="91.6"/>
    <n v="68"/>
    <n v="69.400000000000006"/>
    <n v="68.7"/>
    <n v="96"/>
    <x v="8"/>
    <n v="96.9"/>
    <n v="24.7"/>
    <n v="38.6"/>
    <n v="80.599999999999994"/>
  </r>
  <r>
    <x v="2"/>
    <x v="3"/>
    <s v="NULL"/>
    <s v="NULL"/>
    <s v="NULL"/>
    <s v="NULL"/>
    <s v="NULL"/>
    <s v="NULL"/>
    <s v="NULL"/>
    <s v="NULL"/>
    <s v="NULL"/>
    <s v="NULL"/>
    <s v="NULL"/>
    <s v="NULL"/>
    <x v="3"/>
    <n v="127.6"/>
    <n v="125.9"/>
    <n v="126.8"/>
    <n v="127.1"/>
    <n v="133.19999999999999"/>
    <n v="130.1"/>
    <n v="91.7"/>
    <n v="87.6"/>
    <n v="89.6"/>
    <n v="62"/>
    <n v="61.6"/>
    <n v="61.8"/>
    <n v="95.7"/>
    <x v="9"/>
    <n v="96.6"/>
    <n v="24.4"/>
    <n v="39.5"/>
    <n v="81.5"/>
  </r>
  <r>
    <x v="3"/>
    <x v="0"/>
    <n v="7"/>
    <n v="5.5"/>
    <n v="6.2"/>
    <n v="7.9"/>
    <n v="6.6"/>
    <n v="7.2"/>
    <n v="25.7"/>
    <n v="27.8"/>
    <n v="26.8"/>
    <n v="4.9000000000000004"/>
    <n v="4.5"/>
    <n v="4.7"/>
    <x v="9"/>
    <s v="NULL"/>
    <s v="NULL"/>
    <s v="NULL"/>
    <s v="NULL"/>
    <s v="NULL"/>
    <s v="NULL"/>
    <s v="NULL"/>
    <s v="NULL"/>
    <s v="NULL"/>
    <s v="NULL"/>
    <s v="NULL"/>
    <s v="NULL"/>
    <s v="NULL"/>
    <x v="0"/>
    <s v="NULL"/>
    <s v="NULL"/>
    <s v="NULL"/>
    <s v="NULL"/>
  </r>
  <r>
    <x v="3"/>
    <x v="1"/>
    <n v="8.1999999999999993"/>
    <n v="6.7"/>
    <n v="7.4"/>
    <n v="7.6"/>
    <n v="6.5"/>
    <n v="7.1"/>
    <n v="28.6"/>
    <n v="32.1"/>
    <n v="30.4"/>
    <n v="7.6"/>
    <n v="6.8"/>
    <n v="7.2"/>
    <x v="10"/>
    <n v="111.8"/>
    <n v="115.2"/>
    <n v="113.4"/>
    <n v="87.9"/>
    <n v="98.7"/>
    <n v="93.1"/>
    <n v="65.599999999999994"/>
    <n v="77.2"/>
    <n v="71.2"/>
    <n v="31.8"/>
    <n v="34.299999999999997"/>
    <n v="32.9"/>
    <n v="60.2"/>
    <x v="10"/>
    <n v="75.3"/>
    <n v="8.9"/>
    <n v="19.399999999999999"/>
    <n v="80.3"/>
  </r>
  <r>
    <x v="3"/>
    <x v="3"/>
    <s v="NULL"/>
    <s v="NULL"/>
    <s v="NULL"/>
    <s v="NULL"/>
    <s v="NULL"/>
    <s v="NULL"/>
    <s v="NULL"/>
    <s v="NULL"/>
    <s v="NULL"/>
    <s v="NULL"/>
    <s v="NULL"/>
    <s v="NULL"/>
    <x v="3"/>
    <n v="104.7"/>
    <n v="107.6"/>
    <n v="106.1"/>
    <n v="87.7"/>
    <n v="98.8"/>
    <n v="93.1"/>
    <n v="72.5"/>
    <n v="83"/>
    <n v="77.599999999999994"/>
    <n v="38.200000000000003"/>
    <n v="39.5"/>
    <n v="38.799999999999997"/>
    <n v="82.8"/>
    <x v="11"/>
    <n v="83.9"/>
    <n v="10.8"/>
    <n v="25.6"/>
    <n v="86.2"/>
  </r>
  <r>
    <x v="3"/>
    <x v="2"/>
    <s v="NULL"/>
    <s v="NULL"/>
    <s v="NULL"/>
    <s v="NULL"/>
    <s v="NULL"/>
    <s v="NULL"/>
    <s v="NULL"/>
    <s v="NULL"/>
    <s v="NULL"/>
    <s v="NULL"/>
    <s v="NULL"/>
    <s v="NULL"/>
    <x v="3"/>
    <n v="113.4"/>
    <n v="116.6"/>
    <n v="115"/>
    <n v="90.1"/>
    <n v="101.9"/>
    <n v="95.9"/>
    <n v="69.400000000000006"/>
    <n v="80.599999999999994"/>
    <n v="74.8"/>
    <n v="32.700000000000003"/>
    <n v="35.4"/>
    <n v="34"/>
    <n v="54.8"/>
    <x v="12"/>
    <n v="74.900000000000006"/>
    <n v="9.8000000000000007"/>
    <n v="22.4"/>
    <n v="83.4"/>
  </r>
  <r>
    <x v="4"/>
    <x v="1"/>
    <s v="NULL"/>
    <s v="NULL"/>
    <s v="NULL"/>
    <s v="NULL"/>
    <s v="NULL"/>
    <s v="NULL"/>
    <s v="NULL"/>
    <s v="NULL"/>
    <s v="NULL"/>
    <s v="NULL"/>
    <s v="NULL"/>
    <s v="NULL"/>
    <x v="3"/>
    <n v="95"/>
    <n v="101.2"/>
    <n v="98"/>
    <n v="80.599999999999994"/>
    <n v="94.9"/>
    <n v="87.2"/>
    <n v="57.7"/>
    <n v="63"/>
    <n v="60.1"/>
    <n v="23.3"/>
    <n v="24.2"/>
    <n v="23.7"/>
    <n v="73.400000000000006"/>
    <x v="13"/>
    <n v="75.400000000000006"/>
    <n v="5.5"/>
    <n v="10"/>
    <n v="92.5"/>
  </r>
  <r>
    <x v="4"/>
    <x v="3"/>
    <s v="NULL"/>
    <s v="NULL"/>
    <s v="NULL"/>
    <s v="NULL"/>
    <s v="NULL"/>
    <s v="NULL"/>
    <s v="NULL"/>
    <s v="NULL"/>
    <s v="NULL"/>
    <s v="NULL"/>
    <s v="NULL"/>
    <s v="NULL"/>
    <x v="3"/>
    <n v="104.4"/>
    <n v="111.3"/>
    <n v="107.7"/>
    <n v="98.2"/>
    <n v="119.4"/>
    <n v="107.9"/>
    <n v="72.400000000000006"/>
    <n v="85.4"/>
    <n v="78.400000000000006"/>
    <n v="34.799999999999997"/>
    <n v="36.700000000000003"/>
    <n v="35.6"/>
    <n v="89.2"/>
    <x v="14"/>
    <n v="90.1"/>
    <n v="9.4"/>
    <n v="37.799999999999997"/>
    <n v="94.4"/>
  </r>
  <r>
    <x v="4"/>
    <x v="2"/>
    <s v="NULL"/>
    <s v="NULL"/>
    <s v="NULL"/>
    <s v="NULL"/>
    <s v="NULL"/>
    <s v="NULL"/>
    <s v="NULL"/>
    <s v="NULL"/>
    <s v="NULL"/>
    <s v="NULL"/>
    <s v="NULL"/>
    <s v="NULL"/>
    <x v="3"/>
    <n v="98.1"/>
    <n v="104.4"/>
    <n v="101.1"/>
    <n v="89.8"/>
    <n v="107.7"/>
    <n v="98.1"/>
    <n v="65.099999999999994"/>
    <n v="73.900000000000006"/>
    <n v="69.099999999999994"/>
    <n v="31.9"/>
    <n v="31.7"/>
    <n v="31.8"/>
    <n v="73.900000000000006"/>
    <x v="15"/>
    <n v="76.3"/>
    <n v="8.1999999999999993"/>
    <n v="25.2"/>
    <n v="92.7"/>
  </r>
  <r>
    <x v="5"/>
    <x v="1"/>
    <s v="NULL"/>
    <s v="NULL"/>
    <s v="NULL"/>
    <s v="NULL"/>
    <s v="NULL"/>
    <s v="NULL"/>
    <s v="NULL"/>
    <s v="NULL"/>
    <s v="NULL"/>
    <s v="NULL"/>
    <s v="NULL"/>
    <s v="NULL"/>
    <x v="3"/>
    <n v="88.4"/>
    <n v="96.1"/>
    <n v="91.9"/>
    <n v="99.9"/>
    <n v="103"/>
    <n v="101.3"/>
    <n v="92.1"/>
    <n v="92.2"/>
    <n v="92.1"/>
    <n v="90.5"/>
    <n v="92.9"/>
    <n v="91.5"/>
    <n v="100"/>
    <x v="16"/>
    <n v="100"/>
    <n v="95.8"/>
    <n v="100"/>
    <n v="100"/>
  </r>
  <r>
    <x v="5"/>
    <x v="3"/>
    <s v="NULL"/>
    <s v="NULL"/>
    <s v="NULL"/>
    <s v="NULL"/>
    <s v="NULL"/>
    <s v="NULL"/>
    <s v="NULL"/>
    <s v="NULL"/>
    <s v="NULL"/>
    <s v="NULL"/>
    <s v="NULL"/>
    <s v="NULL"/>
    <x v="3"/>
    <n v="77.400000000000006"/>
    <n v="86.6"/>
    <n v="81.400000000000006"/>
    <n v="90.4"/>
    <n v="102.4"/>
    <n v="95.5"/>
    <n v="85.2"/>
    <n v="89.8"/>
    <n v="87.2"/>
    <n v="80.900000000000006"/>
    <n v="86.8"/>
    <n v="83.3"/>
    <n v="100"/>
    <x v="17"/>
    <n v="100"/>
    <n v="94.5"/>
    <n v="100"/>
    <n v="100"/>
  </r>
  <r>
    <x v="5"/>
    <x v="2"/>
    <s v="NULL"/>
    <s v="NULL"/>
    <s v="NULL"/>
    <s v="NULL"/>
    <s v="NULL"/>
    <s v="NULL"/>
    <s v="NULL"/>
    <s v="NULL"/>
    <s v="NULL"/>
    <s v="NULL"/>
    <s v="NULL"/>
    <s v="NULL"/>
    <x v="3"/>
    <n v="83.6"/>
    <n v="91.5"/>
    <n v="87.1"/>
    <n v="94.7"/>
    <n v="103.2"/>
    <n v="98.3"/>
    <n v="89.1"/>
    <n v="90.5"/>
    <n v="89.7"/>
    <n v="90.1"/>
    <n v="91.3"/>
    <n v="90.6"/>
    <n v="100"/>
    <x v="18"/>
    <n v="100"/>
    <n v="95.4"/>
    <n v="100"/>
    <n v="100"/>
  </r>
  <r>
    <x v="6"/>
    <x v="2"/>
    <n v="3.1"/>
    <n v="2.7"/>
    <n v="2.9"/>
    <n v="6.5"/>
    <n v="5.2"/>
    <n v="5.9"/>
    <n v="22.6"/>
    <n v="19.899999999999999"/>
    <n v="21.3"/>
    <n v="1.4"/>
    <n v="4.0999999999999996"/>
    <n v="2.8"/>
    <x v="11"/>
    <n v="103.3"/>
    <n v="102.9"/>
    <n v="103.1"/>
    <n v="100.9"/>
    <n v="101.6"/>
    <n v="101.2"/>
    <n v="100.3"/>
    <n v="103.4"/>
    <n v="101.8"/>
    <n v="64.099999999999994"/>
    <n v="62.6"/>
    <n v="63.3"/>
    <n v="76.099999999999994"/>
    <x v="19"/>
    <n v="92"/>
    <n v="11.9"/>
    <n v="66.900000000000006"/>
    <n v="97"/>
  </r>
  <r>
    <x v="6"/>
    <x v="1"/>
    <s v="NULL"/>
    <s v="NULL"/>
    <s v="NULL"/>
    <s v="NULL"/>
    <s v="NULL"/>
    <s v="NULL"/>
    <s v="NULL"/>
    <s v="NULL"/>
    <s v="NULL"/>
    <s v="NULL"/>
    <s v="NULL"/>
    <s v="NULL"/>
    <x v="3"/>
    <n v="104.1"/>
    <n v="103.9"/>
    <n v="104"/>
    <n v="100.4"/>
    <n v="101.1"/>
    <n v="100.7"/>
    <n v="96.7"/>
    <n v="99.3"/>
    <n v="98"/>
    <n v="58.3"/>
    <n v="56.2"/>
    <n v="57.2"/>
    <n v="82.9"/>
    <x v="20"/>
    <n v="94.1"/>
    <n v="9.8000000000000007"/>
    <n v="57.3"/>
    <n v="95.5"/>
  </r>
  <r>
    <x v="6"/>
    <x v="3"/>
    <s v="NULL"/>
    <s v="NULL"/>
    <s v="NULL"/>
    <s v="NULL"/>
    <s v="NULL"/>
    <s v="NULL"/>
    <s v="NULL"/>
    <s v="NULL"/>
    <s v="NULL"/>
    <s v="NULL"/>
    <s v="NULL"/>
    <s v="NULL"/>
    <x v="3"/>
    <n v="100.2"/>
    <n v="99.9"/>
    <n v="100"/>
    <n v="101.6"/>
    <n v="103.1"/>
    <n v="102.3"/>
    <n v="89.4"/>
    <n v="94.5"/>
    <n v="91.9"/>
    <n v="53.9"/>
    <n v="54.1"/>
    <n v="54"/>
    <n v="98.5"/>
    <x v="21"/>
    <n v="99.2"/>
    <n v="12.7"/>
    <n v="72.7"/>
    <n v="99.1"/>
  </r>
  <r>
    <x v="7"/>
    <x v="1"/>
    <n v="1.1000000000000001"/>
    <n v="2.2000000000000002"/>
    <n v="1.6"/>
    <n v="3.3"/>
    <n v="5.0999999999999996"/>
    <n v="4.0999999999999996"/>
    <n v="30"/>
    <n v="26.8"/>
    <n v="28.6"/>
    <n v="7.1"/>
    <n v="5.3"/>
    <n v="6.2"/>
    <x v="12"/>
    <n v="89.5"/>
    <n v="81.900000000000006"/>
    <n v="85.8"/>
    <n v="100.8"/>
    <n v="91.4"/>
    <n v="96.2"/>
    <n v="87.8"/>
    <n v="79.099999999999994"/>
    <n v="83.7"/>
    <n v="37.799999999999997"/>
    <n v="42"/>
    <n v="39.6"/>
    <n v="85.5"/>
    <x v="22"/>
    <n v="94.4"/>
    <n v="38.200000000000003"/>
    <n v="96.8"/>
    <n v="100"/>
  </r>
  <r>
    <x v="7"/>
    <x v="2"/>
    <n v="1.6"/>
    <n v="1.3"/>
    <n v="1.5"/>
    <n v="3.7"/>
    <n v="4.4000000000000004"/>
    <n v="4"/>
    <n v="18.2"/>
    <n v="15.1"/>
    <n v="16.8"/>
    <n v="13.5"/>
    <n v="4.8"/>
    <n v="9.5"/>
    <x v="13"/>
    <n v="85.4"/>
    <n v="78.8"/>
    <n v="82.2"/>
    <n v="97.2"/>
    <n v="88.4"/>
    <n v="92.9"/>
    <n v="91.1"/>
    <n v="84.7"/>
    <n v="88.1"/>
    <n v="35.6"/>
    <n v="40.4"/>
    <n v="37.700000000000003"/>
    <n v="95.3"/>
    <x v="5"/>
    <n v="99.1"/>
    <n v="40.1"/>
    <n v="98.6"/>
    <n v="100"/>
  </r>
  <r>
    <x v="7"/>
    <x v="3"/>
    <s v="NULL"/>
    <s v="NULL"/>
    <s v="NULL"/>
    <s v="NULL"/>
    <s v="NULL"/>
    <s v="NULL"/>
    <s v="NULL"/>
    <s v="NULL"/>
    <s v="NULL"/>
    <s v="NULL"/>
    <s v="NULL"/>
    <s v="NULL"/>
    <x v="3"/>
    <n v="84.7"/>
    <n v="80.2"/>
    <n v="82.5"/>
    <n v="93.7"/>
    <n v="88"/>
    <n v="91"/>
    <n v="91.6"/>
    <n v="85.2"/>
    <n v="88.6"/>
    <n v="45.3"/>
    <n v="52.6"/>
    <n v="48.5"/>
    <n v="100"/>
    <x v="23"/>
    <n v="100"/>
    <n v="42.7"/>
    <n v="100"/>
    <n v="100"/>
  </r>
  <r>
    <x v="8"/>
    <x v="1"/>
    <n v="1.1000000000000001"/>
    <n v="0.6"/>
    <n v="0.9"/>
    <n v="3.4"/>
    <n v="3.7"/>
    <n v="3.6"/>
    <n v="19.5"/>
    <n v="20.3"/>
    <n v="19.899999999999999"/>
    <n v="14.5"/>
    <n v="4.9000000000000004"/>
    <n v="9.9"/>
    <x v="14"/>
    <n v="87.8"/>
    <n v="89.8"/>
    <n v="88.7"/>
    <n v="84.1"/>
    <n v="90.6"/>
    <n v="87"/>
    <n v="67.900000000000006"/>
    <n v="82.2"/>
    <n v="73.900000000000006"/>
    <n v="34.4"/>
    <n v="64.599999999999994"/>
    <n v="44.4"/>
    <n v="100"/>
    <x v="24"/>
    <n v="100"/>
    <n v="61.1"/>
    <n v="100"/>
    <n v="100"/>
  </r>
  <r>
    <x v="8"/>
    <x v="2"/>
    <n v="1.8"/>
    <n v="0.3"/>
    <n v="1.1000000000000001"/>
    <n v="3.1"/>
    <n v="3.1"/>
    <n v="3.1"/>
    <n v="34.5"/>
    <n v="29.7"/>
    <n v="32.299999999999997"/>
    <n v="44.4"/>
    <n v="36.1"/>
    <n v="40.5"/>
    <x v="15"/>
    <n v="83.9"/>
    <n v="87.4"/>
    <n v="85.5"/>
    <n v="80.3"/>
    <n v="88.1"/>
    <n v="83.7"/>
    <n v="68.7"/>
    <n v="83.6"/>
    <n v="74.900000000000006"/>
    <n v="28.5"/>
    <n v="56"/>
    <n v="37.5"/>
    <n v="100"/>
    <x v="25"/>
    <n v="100"/>
    <n v="66.2"/>
    <n v="100"/>
    <n v="100"/>
  </r>
  <r>
    <x v="8"/>
    <x v="3"/>
    <s v="NULL"/>
    <s v="NULL"/>
    <s v="NULL"/>
    <s v="NULL"/>
    <s v="NULL"/>
    <s v="NULL"/>
    <s v="NULL"/>
    <s v="NULL"/>
    <s v="NULL"/>
    <s v="NULL"/>
    <s v="NULL"/>
    <s v="NULL"/>
    <x v="3"/>
    <n v="79.7"/>
    <n v="85"/>
    <n v="82"/>
    <n v="74.900000000000006"/>
    <n v="84.6"/>
    <n v="79.2"/>
    <n v="67.099999999999994"/>
    <n v="81.400000000000006"/>
    <n v="73"/>
    <n v="16.3"/>
    <n v="32.299999999999997"/>
    <n v="21.5"/>
    <n v="100"/>
    <x v="26"/>
    <n v="100"/>
    <n v="64.099999999999994"/>
    <n v="100"/>
    <n v="100"/>
  </r>
  <r>
    <x v="9"/>
    <x v="1"/>
    <s v="NULL"/>
    <s v="NULL"/>
    <s v="NULL"/>
    <s v="NULL"/>
    <s v="NULL"/>
    <s v="NULL"/>
    <s v="NULL"/>
    <s v="NULL"/>
    <s v="NULL"/>
    <s v="NULL"/>
    <s v="NULL"/>
    <s v="NULL"/>
    <x v="3"/>
    <n v="108.8"/>
    <n v="113"/>
    <n v="110.7"/>
    <n v="117.8"/>
    <n v="129.5"/>
    <n v="122.9"/>
    <n v="102"/>
    <n v="102.9"/>
    <n v="102.4"/>
    <n v="98.9"/>
    <n v="102.3"/>
    <n v="100.4"/>
    <n v="100"/>
    <x v="27"/>
    <n v="100"/>
    <n v="81.599999999999994"/>
    <n v="100"/>
    <n v="100"/>
  </r>
  <r>
    <x v="9"/>
    <x v="3"/>
    <s v="NULL"/>
    <s v="NULL"/>
    <s v="NULL"/>
    <s v="NULL"/>
    <s v="NULL"/>
    <s v="NULL"/>
    <s v="NULL"/>
    <s v="NULL"/>
    <s v="NULL"/>
    <s v="NULL"/>
    <s v="NULL"/>
    <s v="NULL"/>
    <x v="3"/>
    <n v="108"/>
    <n v="113.9"/>
    <n v="110.7"/>
    <n v="118.9"/>
    <n v="140.6"/>
    <n v="128.1"/>
    <n v="103.2"/>
    <n v="111.3"/>
    <n v="106.8"/>
    <n v="73.3"/>
    <n v="83.6"/>
    <n v="77.900000000000006"/>
    <n v="100"/>
    <x v="28"/>
    <n v="100"/>
    <n v="83.9"/>
    <n v="100"/>
    <n v="100"/>
  </r>
  <r>
    <x v="9"/>
    <x v="2"/>
    <s v="NULL"/>
    <s v="NULL"/>
    <s v="NULL"/>
    <s v="NULL"/>
    <s v="NULL"/>
    <s v="NULL"/>
    <s v="NULL"/>
    <s v="NULL"/>
    <s v="NULL"/>
    <s v="NULL"/>
    <s v="NULL"/>
    <s v="NULL"/>
    <x v="3"/>
    <n v="109.4"/>
    <n v="114.6"/>
    <n v="111.8"/>
    <n v="118.1"/>
    <n v="134.6"/>
    <n v="125.2"/>
    <n v="101.6"/>
    <n v="106"/>
    <n v="103.6"/>
    <n v="89.5"/>
    <n v="94.2"/>
    <n v="91.6"/>
    <n v="100"/>
    <x v="29"/>
    <n v="100"/>
    <n v="81"/>
    <n v="100"/>
    <n v="100"/>
  </r>
  <r>
    <x v="10"/>
    <x v="2"/>
    <n v="0.6"/>
    <n v="0.8"/>
    <n v="0.7"/>
    <n v="3.6"/>
    <n v="0.2"/>
    <n v="0.1"/>
    <n v="14.2"/>
    <n v="7.7"/>
    <n v="11.2"/>
    <n v="18.3"/>
    <n v="9.4"/>
    <n v="13.9"/>
    <x v="16"/>
    <n v="103"/>
    <n v="105"/>
    <n v="104"/>
    <n v="99.2"/>
    <n v="101.3"/>
    <n v="100.2"/>
    <n v="118.6"/>
    <n v="108.1"/>
    <n v="113.6"/>
    <n v="73.7"/>
    <n v="82.6"/>
    <n v="77.900000000000006"/>
    <n v="90.9"/>
    <x v="30"/>
    <n v="99.4"/>
    <n v="43.5"/>
    <n v="98.7"/>
    <n v="99.2"/>
  </r>
  <r>
    <x v="10"/>
    <x v="1"/>
    <s v="NULL"/>
    <s v="NULL"/>
    <s v="NULL"/>
    <s v="NULL"/>
    <s v="NULL"/>
    <s v="NULL"/>
    <s v="NULL"/>
    <s v="NULL"/>
    <s v="NULL"/>
    <s v="NULL"/>
    <s v="NULL"/>
    <s v="NULL"/>
    <x v="3"/>
    <n v="105"/>
    <n v="105.3"/>
    <n v="105.1"/>
    <n v="106.3"/>
    <n v="105.2"/>
    <n v="105.8"/>
    <n v="110.8"/>
    <n v="102.1"/>
    <n v="106.7"/>
    <n v="68.3"/>
    <n v="72.400000000000006"/>
    <n v="70.2"/>
    <n v="87.1"/>
    <x v="31"/>
    <n v="98.3"/>
    <n v="40.6"/>
    <n v="98.2"/>
    <n v="98.6"/>
  </r>
  <r>
    <x v="10"/>
    <x v="3"/>
    <s v="NULL"/>
    <s v="NULL"/>
    <s v="NULL"/>
    <s v="NULL"/>
    <s v="NULL"/>
    <s v="NULL"/>
    <s v="NULL"/>
    <s v="NULL"/>
    <s v="NULL"/>
    <s v="NULL"/>
    <s v="NULL"/>
    <s v="NULL"/>
    <x v="3"/>
    <n v="100.9"/>
    <n v="104.5"/>
    <n v="102.6"/>
    <n v="96.8"/>
    <n v="100.9"/>
    <n v="98.7"/>
    <n v="103"/>
    <n v="105.4"/>
    <n v="104.2"/>
    <n v="70.8"/>
    <n v="81.599999999999994"/>
    <n v="75.8"/>
    <n v="100"/>
    <x v="32"/>
    <n v="100"/>
    <n v="44.7"/>
    <n v="99.9"/>
    <n v="100"/>
  </r>
  <r>
    <x v="11"/>
    <x v="0"/>
    <n v="0.2"/>
    <n v="1.4"/>
    <n v="0.7"/>
    <n v="2.8"/>
    <n v="8.1999999999999993"/>
    <n v="5.2"/>
    <n v="14"/>
    <n v="13"/>
    <n v="13.6"/>
    <n v="0.6"/>
    <n v="0.3"/>
    <n v="0.5"/>
    <x v="17"/>
    <s v="NULL"/>
    <s v="NULL"/>
    <s v="NULL"/>
    <s v="NULL"/>
    <s v="NULL"/>
    <s v="NULL"/>
    <s v="NULL"/>
    <s v="NULL"/>
    <s v="NULL"/>
    <s v="NULL"/>
    <s v="NULL"/>
    <s v="NULL"/>
    <s v="NULL"/>
    <x v="0"/>
    <s v="NULL"/>
    <s v="NULL"/>
    <s v="NULL"/>
    <s v="NULL"/>
  </r>
  <r>
    <x v="11"/>
    <x v="1"/>
    <n v="0.5"/>
    <n v="1.1000000000000001"/>
    <n v="0.8"/>
    <n v="3.5"/>
    <n v="8"/>
    <n v="5.6"/>
    <n v="22.9"/>
    <n v="19.8"/>
    <n v="21.6"/>
    <n v="9.1"/>
    <n v="6.2"/>
    <n v="7.8"/>
    <x v="18"/>
    <n v="100.3"/>
    <n v="102.1"/>
    <n v="101.1"/>
    <n v="91.8"/>
    <n v="89.7"/>
    <n v="90.9"/>
    <n v="81.8"/>
    <n v="65.900000000000006"/>
    <n v="74.5"/>
    <n v="53.1"/>
    <n v="43.3"/>
    <n v="48.5"/>
    <n v="97.8"/>
    <x v="33"/>
    <n v="99.8"/>
    <n v="72.099999999999994"/>
    <n v="99.7"/>
    <n v="100"/>
  </r>
  <r>
    <x v="11"/>
    <x v="2"/>
    <n v="0.8"/>
    <n v="1"/>
    <n v="0.9"/>
    <n v="4.7"/>
    <n v="8.5"/>
    <n v="6.4"/>
    <n v="26.3"/>
    <n v="23.2"/>
    <n v="25"/>
    <n v="8.4"/>
    <n v="5.3"/>
    <n v="7"/>
    <x v="19"/>
    <n v="97.6"/>
    <n v="100.1"/>
    <n v="98.7"/>
    <n v="93.6"/>
    <n v="93.5"/>
    <n v="93.6"/>
    <n v="80.8"/>
    <n v="66.7"/>
    <n v="74.3"/>
    <n v="47.4"/>
    <n v="42"/>
    <n v="44.9"/>
    <n v="98.6"/>
    <x v="34"/>
    <n v="99.8"/>
    <n v="75.2"/>
    <n v="99.7"/>
    <n v="99.9"/>
  </r>
  <r>
    <x v="11"/>
    <x v="3"/>
    <s v="NULL"/>
    <s v="NULL"/>
    <s v="NULL"/>
    <s v="NULL"/>
    <s v="NULL"/>
    <s v="NULL"/>
    <s v="NULL"/>
    <s v="NULL"/>
    <s v="NULL"/>
    <s v="NULL"/>
    <s v="NULL"/>
    <s v="NULL"/>
    <x v="3"/>
    <n v="95.6"/>
    <n v="99.1"/>
    <n v="97.2"/>
    <n v="94.7"/>
    <n v="97"/>
    <n v="95.7"/>
    <n v="80.3"/>
    <n v="66.8"/>
    <n v="74.099999999999994"/>
    <n v="45.2"/>
    <n v="41.4"/>
    <n v="43.4"/>
    <n v="99.9"/>
    <x v="35"/>
    <n v="100"/>
    <n v="75.5"/>
    <n v="99.7"/>
    <n v="100"/>
  </r>
  <r>
    <x v="12"/>
    <x v="1"/>
    <n v="0.2"/>
    <n v="0.6"/>
    <n v="0.4"/>
    <n v="2"/>
    <n v="3.3"/>
    <n v="2.6"/>
    <n v="11.9"/>
    <n v="13.3"/>
    <n v="12.5"/>
    <n v="1.4"/>
    <n v="3.2"/>
    <n v="2.2000000000000002"/>
    <x v="20"/>
    <n v="96.6"/>
    <n v="100.6"/>
    <n v="98.4"/>
    <n v="91.2"/>
    <n v="98"/>
    <n v="94.2"/>
    <n v="88.8"/>
    <n v="82.9"/>
    <n v="86.2"/>
    <n v="72.8"/>
    <n v="65.400000000000006"/>
    <n v="69.599999999999994"/>
    <n v="96.5"/>
    <x v="36"/>
    <n v="98.1"/>
    <n v="44.1"/>
    <n v="98.9"/>
    <n v="99.9"/>
  </r>
  <r>
    <x v="12"/>
    <x v="2"/>
    <n v="5.5"/>
    <n v="5.7"/>
    <n v="5.6"/>
    <n v="5.5"/>
    <n v="6.2"/>
    <n v="5.8"/>
    <n v="16.399999999999999"/>
    <n v="15.3"/>
    <n v="15.9"/>
    <n v="6.2"/>
    <n v="5.0999999999999996"/>
    <n v="5.8"/>
    <x v="21"/>
    <n v="95.9"/>
    <n v="99.6"/>
    <n v="97.6"/>
    <n v="92"/>
    <n v="101.5"/>
    <n v="96"/>
    <n v="85.7"/>
    <n v="82.5"/>
    <n v="84.3"/>
    <n v="67.8"/>
    <n v="63.3"/>
    <n v="65.8"/>
    <n v="95.7"/>
    <x v="37"/>
    <n v="98.1"/>
    <n v="46"/>
    <n v="98.7"/>
    <n v="99.8"/>
  </r>
  <r>
    <x v="12"/>
    <x v="3"/>
    <s v="NULL"/>
    <s v="NULL"/>
    <s v="NULL"/>
    <s v="NULL"/>
    <s v="NULL"/>
    <s v="NULL"/>
    <s v="NULL"/>
    <s v="NULL"/>
    <s v="NULL"/>
    <s v="NULL"/>
    <s v="NULL"/>
    <s v="NULL"/>
    <x v="3"/>
    <n v="90"/>
    <n v="93.2"/>
    <n v="91.4"/>
    <n v="87.4"/>
    <n v="99.2"/>
    <n v="92.4"/>
    <n v="84.2"/>
    <n v="84.2"/>
    <n v="84.2"/>
    <n v="59.7"/>
    <n v="59.5"/>
    <n v="59.6"/>
    <n v="99.5"/>
    <x v="38"/>
    <n v="99.6"/>
    <n v="46.9"/>
    <n v="99"/>
    <n v="99.9"/>
  </r>
  <r>
    <x v="13"/>
    <x v="0"/>
    <n v="0.5"/>
    <n v="0.4"/>
    <n v="0.5"/>
    <n v="0.5"/>
    <n v="0.5"/>
    <n v="0.5"/>
    <n v="8.4"/>
    <n v="8.4"/>
    <n v="8.4"/>
    <n v="10.3"/>
    <n v="7.6"/>
    <n v="9"/>
    <x v="22"/>
    <s v="NULL"/>
    <s v="NULL"/>
    <s v="NULL"/>
    <s v="NULL"/>
    <s v="NULL"/>
    <s v="NULL"/>
    <s v="NULL"/>
    <s v="NULL"/>
    <s v="NULL"/>
    <s v="NULL"/>
    <s v="NULL"/>
    <s v="NULL"/>
    <s v="NULL"/>
    <x v="0"/>
    <s v="NULL"/>
    <s v="NULL"/>
    <s v="NULL"/>
    <s v="NULL"/>
  </r>
  <r>
    <x v="13"/>
    <x v="1"/>
    <n v="0.6"/>
    <n v="0.3"/>
    <n v="0.5"/>
    <n v="0.6"/>
    <n v="1"/>
    <n v="0.8"/>
    <n v="9.3000000000000007"/>
    <n v="8.8000000000000007"/>
    <n v="9.1"/>
    <n v="8.4"/>
    <n v="5.5"/>
    <n v="7.1"/>
    <x v="23"/>
    <n v="99.8"/>
    <n v="101.3"/>
    <n v="100.5"/>
    <n v="101.6"/>
    <n v="102"/>
    <n v="101.8"/>
    <n v="122.8"/>
    <n v="117.5"/>
    <n v="120.3"/>
    <n v="96.2"/>
    <n v="96.1"/>
    <n v="96.1"/>
    <n v="94.5"/>
    <x v="39"/>
    <n v="97.3"/>
    <n v="22.5"/>
    <n v="94.9"/>
    <n v="99.1"/>
  </r>
  <r>
    <x v="13"/>
    <x v="2"/>
    <n v="0.5"/>
    <n v="0.8"/>
    <n v="0.6"/>
    <n v="0.5"/>
    <n v="1.3"/>
    <n v="0.9"/>
    <n v="6.3"/>
    <n v="5.8"/>
    <n v="6.1"/>
    <n v="9"/>
    <n v="5.6"/>
    <n v="7.4"/>
    <x v="24"/>
    <n v="98.5"/>
    <n v="100.4"/>
    <n v="99.4"/>
    <n v="102.3"/>
    <n v="104"/>
    <n v="103.1"/>
    <n v="119"/>
    <n v="112.3"/>
    <n v="115.9"/>
    <n v="101.7"/>
    <n v="99.3"/>
    <n v="100.6"/>
    <n v="95.6"/>
    <x v="40"/>
    <n v="97.7"/>
    <n v="23.9"/>
    <n v="94.2"/>
    <n v="99.1"/>
  </r>
  <r>
    <x v="13"/>
    <x v="3"/>
    <s v="NULL"/>
    <s v="NULL"/>
    <s v="NULL"/>
    <s v="NULL"/>
    <s v="NULL"/>
    <s v="NULL"/>
    <s v="NULL"/>
    <s v="NULL"/>
    <s v="NULL"/>
    <s v="NULL"/>
    <s v="NULL"/>
    <s v="NULL"/>
    <x v="3"/>
    <n v="98"/>
    <n v="99.7"/>
    <n v="98.8"/>
    <n v="103.4"/>
    <n v="105.5"/>
    <n v="104.4"/>
    <n v="108.4"/>
    <n v="105.5"/>
    <n v="107.1"/>
    <n v="94.6"/>
    <n v="96.6"/>
    <n v="95.5"/>
    <n v="99.7"/>
    <x v="41"/>
    <n v="99.8"/>
    <n v="26"/>
    <n v="96.2"/>
    <n v="99.9"/>
  </r>
  <r>
    <x v="14"/>
    <x v="0"/>
    <n v="6.8"/>
    <n v="5.8"/>
    <n v="6.3"/>
    <n v="5.5"/>
    <n v="5.5"/>
    <n v="5.5"/>
    <n v="16.8"/>
    <n v="18"/>
    <n v="17.3"/>
    <n v="11.7"/>
    <n v="9.4"/>
    <n v="10.7"/>
    <x v="25"/>
    <s v="NULL"/>
    <s v="NULL"/>
    <s v="NULL"/>
    <s v="NULL"/>
    <s v="NULL"/>
    <s v="NULL"/>
    <s v="NULL"/>
    <s v="NULL"/>
    <s v="NULL"/>
    <s v="NULL"/>
    <s v="NULL"/>
    <s v="NULL"/>
    <s v="NULL"/>
    <x v="0"/>
    <s v="NULL"/>
    <s v="NULL"/>
    <s v="NULL"/>
    <s v="NULL"/>
  </r>
  <r>
    <x v="14"/>
    <x v="1"/>
    <n v="5.5"/>
    <n v="5.4"/>
    <n v="5.5"/>
    <n v="3.9"/>
    <n v="4.8"/>
    <n v="4.3"/>
    <n v="14.7"/>
    <n v="16.100000000000001"/>
    <n v="15.4"/>
    <n v="8.8000000000000007"/>
    <n v="6.2"/>
    <n v="7.6"/>
    <x v="26"/>
    <n v="84"/>
    <n v="85.9"/>
    <n v="84.9"/>
    <n v="71.599999999999994"/>
    <n v="73.3"/>
    <n v="72.400000000000006"/>
    <n v="67.8"/>
    <n v="63.9"/>
    <n v="66"/>
    <n v="54.5"/>
    <n v="47.9"/>
    <n v="51.3"/>
    <n v="69.599999999999994"/>
    <x v="42"/>
    <n v="76.7"/>
    <n v="16.7"/>
    <n v="23.5"/>
    <n v="90"/>
  </r>
  <r>
    <x v="14"/>
    <x v="2"/>
    <n v="7"/>
    <n v="6.6"/>
    <n v="6.8"/>
    <n v="5"/>
    <n v="6"/>
    <n v="5.4"/>
    <n v="17"/>
    <n v="17.7"/>
    <n v="17.3"/>
    <n v="13.9"/>
    <n v="11.2"/>
    <n v="12.7"/>
    <x v="27"/>
    <n v="85.1"/>
    <n v="87"/>
    <n v="86"/>
    <n v="69.8"/>
    <n v="72.099999999999994"/>
    <n v="70.900000000000006"/>
    <n v="67.7"/>
    <n v="64.8"/>
    <n v="66.3"/>
    <n v="62.3"/>
    <n v="56.1"/>
    <n v="59.3"/>
    <n v="71.5"/>
    <x v="43"/>
    <n v="77.900000000000006"/>
    <n v="17.600000000000001"/>
    <n v="26.4"/>
    <n v="90.8"/>
  </r>
  <r>
    <x v="14"/>
    <x v="3"/>
    <s v="NULL"/>
    <s v="NULL"/>
    <s v="NULL"/>
    <s v="NULL"/>
    <s v="NULL"/>
    <s v="NULL"/>
    <s v="NULL"/>
    <s v="NULL"/>
    <s v="NULL"/>
    <s v="NULL"/>
    <s v="NULL"/>
    <s v="NULL"/>
    <x v="3"/>
    <n v="84.9"/>
    <n v="87.2"/>
    <n v="86"/>
    <n v="68.8"/>
    <n v="71.900000000000006"/>
    <n v="70.2"/>
    <n v="67.7"/>
    <n v="65.900000000000006"/>
    <n v="66.8"/>
    <n v="61"/>
    <n v="56"/>
    <n v="58.6"/>
    <n v="92.1"/>
    <x v="44"/>
    <n v="95"/>
    <n v="18.3"/>
    <n v="31"/>
    <n v="92.4"/>
  </r>
  <r>
    <x v="15"/>
    <x v="2"/>
    <n v="5.9"/>
    <n v="5"/>
    <n v="5.5"/>
    <n v="9"/>
    <n v="9"/>
    <n v="9"/>
    <n v="23.5"/>
    <n v="24.6"/>
    <n v="24"/>
    <n v="2.7"/>
    <n v="4.2"/>
    <n v="3.4"/>
    <x v="28"/>
    <n v="107.8"/>
    <n v="109.1"/>
    <n v="108.4"/>
    <n v="95.8"/>
    <n v="104.5"/>
    <n v="100"/>
    <n v="69.400000000000006"/>
    <n v="74.599999999999994"/>
    <n v="71.900000000000006"/>
    <n v="48.4"/>
    <n v="49.1"/>
    <n v="48.7"/>
    <n v="86.2"/>
    <x v="45"/>
    <n v="87.3"/>
    <n v="9.6999999999999993"/>
    <n v="18"/>
    <n v="91.9"/>
  </r>
  <r>
    <x v="15"/>
    <x v="1"/>
    <s v="NULL"/>
    <s v="NULL"/>
    <s v="NULL"/>
    <s v="NULL"/>
    <s v="NULL"/>
    <s v="NULL"/>
    <s v="NULL"/>
    <s v="NULL"/>
    <s v="NULL"/>
    <s v="NULL"/>
    <s v="NULL"/>
    <s v="NULL"/>
    <x v="3"/>
    <n v="109.6"/>
    <n v="110.9"/>
    <n v="110.2"/>
    <n v="91.7"/>
    <n v="99.1"/>
    <n v="95.3"/>
    <n v="68.7"/>
    <n v="71.8"/>
    <n v="70.099999999999994"/>
    <n v="43.9"/>
    <n v="44"/>
    <n v="44"/>
    <n v="85.7"/>
    <x v="46"/>
    <n v="87.7"/>
    <n v="8.9"/>
    <n v="16.399999999999999"/>
    <n v="91.4"/>
  </r>
  <r>
    <x v="15"/>
    <x v="3"/>
    <s v="NULL"/>
    <s v="NULL"/>
    <s v="NULL"/>
    <s v="NULL"/>
    <s v="NULL"/>
    <s v="NULL"/>
    <s v="NULL"/>
    <s v="NULL"/>
    <s v="NULL"/>
    <s v="NULL"/>
    <s v="NULL"/>
    <s v="NULL"/>
    <x v="3"/>
    <n v="108.6"/>
    <n v="109.9"/>
    <n v="109.2"/>
    <n v="97.8"/>
    <n v="108.2"/>
    <n v="102.7"/>
    <n v="70.7"/>
    <n v="76.900000000000006"/>
    <n v="73.7"/>
    <n v="47.8"/>
    <n v="49"/>
    <n v="48.3"/>
    <n v="96.5"/>
    <x v="47"/>
    <n v="96.8"/>
    <n v="10.3"/>
    <n v="19.5"/>
    <n v="93.6"/>
  </r>
  <r>
    <x v="16"/>
    <x v="0"/>
    <n v="3.4"/>
    <n v="2.5"/>
    <n v="3"/>
    <n v="5"/>
    <n v="5.2"/>
    <n v="5.0999999999999996"/>
    <n v="40.700000000000003"/>
    <n v="39.1"/>
    <n v="39.9"/>
    <n v="19.5"/>
    <n v="11.3"/>
    <n v="15.3"/>
    <x v="29"/>
    <s v="NULL"/>
    <s v="NULL"/>
    <s v="NULL"/>
    <s v="NULL"/>
    <s v="NULL"/>
    <s v="NULL"/>
    <s v="NULL"/>
    <s v="NULL"/>
    <s v="NULL"/>
    <s v="NULL"/>
    <s v="NULL"/>
    <s v="NULL"/>
    <s v="NULL"/>
    <x v="0"/>
    <s v="NULL"/>
    <s v="NULL"/>
    <s v="NULL"/>
    <s v="NULL"/>
  </r>
  <r>
    <x v="16"/>
    <x v="2"/>
    <n v="2"/>
    <n v="2"/>
    <n v="2"/>
    <n v="3.5"/>
    <n v="4.3"/>
    <n v="3.9"/>
    <n v="27.7"/>
    <n v="24.5"/>
    <n v="26.2"/>
    <n v="6"/>
    <n v="7.9"/>
    <n v="2"/>
    <x v="30"/>
    <n v="101.9"/>
    <n v="101.8"/>
    <n v="101.9"/>
    <n v="92.5"/>
    <n v="93.9"/>
    <n v="93.2"/>
    <n v="81.099999999999994"/>
    <n v="82.6"/>
    <n v="81.8"/>
    <n v="30.8"/>
    <n v="35.299999999999997"/>
    <n v="33"/>
    <n v="99.5"/>
    <x v="48"/>
    <n v="99.6"/>
    <n v="38.700000000000003"/>
    <n v="97.6"/>
    <n v="99.8"/>
  </r>
  <r>
    <x v="16"/>
    <x v="1"/>
    <s v="NULL"/>
    <s v="NULL"/>
    <s v="NULL"/>
    <s v="NULL"/>
    <s v="NULL"/>
    <s v="NULL"/>
    <s v="NULL"/>
    <s v="NULL"/>
    <s v="NULL"/>
    <s v="NULL"/>
    <s v="NULL"/>
    <s v="NULL"/>
    <x v="3"/>
    <n v="101.2"/>
    <n v="100.7"/>
    <n v="101"/>
    <n v="91.7"/>
    <n v="91.9"/>
    <n v="91.8"/>
    <n v="76.900000000000006"/>
    <n v="78.2"/>
    <n v="77.5"/>
    <n v="16.899999999999999"/>
    <n v="20"/>
    <n v="18.399999999999999"/>
    <n v="99.7"/>
    <x v="49"/>
    <n v="99.9"/>
    <n v="35"/>
    <n v="96.8"/>
    <n v="99.5"/>
  </r>
  <r>
    <x v="16"/>
    <x v="3"/>
    <s v="NULL"/>
    <s v="NULL"/>
    <s v="NULL"/>
    <s v="NULL"/>
    <s v="NULL"/>
    <s v="NULL"/>
    <s v="NULL"/>
    <s v="NULL"/>
    <s v="NULL"/>
    <s v="NULL"/>
    <s v="NULL"/>
    <s v="NULL"/>
    <x v="3"/>
    <n v="102.9"/>
    <n v="103"/>
    <n v="103"/>
    <n v="92.4"/>
    <n v="94.4"/>
    <n v="93.4"/>
    <n v="82.4"/>
    <n v="84.2"/>
    <n v="83.2"/>
    <n v="37.1"/>
    <n v="42.9"/>
    <n v="39.9"/>
    <n v="99.3"/>
    <x v="50"/>
    <n v="99.6"/>
    <n v="39.5"/>
    <n v="98.1"/>
    <n v="99.9"/>
  </r>
  <r>
    <x v="17"/>
    <x v="1"/>
    <s v="NULL"/>
    <s v="NULL"/>
    <s v="NULL"/>
    <s v="NULL"/>
    <s v="NULL"/>
    <s v="NULL"/>
    <s v="NULL"/>
    <s v="NULL"/>
    <s v="NULL"/>
    <s v="NULL"/>
    <s v="NULL"/>
    <s v="NULL"/>
    <x v="3"/>
    <n v="95.7"/>
    <n v="95.2"/>
    <n v="95.4"/>
    <n v="98.4"/>
    <n v="98.3"/>
    <n v="98.3"/>
    <n v="103.8"/>
    <n v="101.1"/>
    <n v="102.5"/>
    <n v="86"/>
    <n v="89.3"/>
    <n v="87.6"/>
    <n v="96.9"/>
    <x v="51"/>
    <n v="97.4"/>
    <n v="92.6"/>
    <n v="96.1"/>
    <n v="99.4"/>
  </r>
  <r>
    <x v="17"/>
    <x v="3"/>
    <s v="NULL"/>
    <s v="NULL"/>
    <s v="NULL"/>
    <s v="NULL"/>
    <s v="NULL"/>
    <s v="NULL"/>
    <s v="NULL"/>
    <s v="NULL"/>
    <s v="NULL"/>
    <s v="NULL"/>
    <s v="NULL"/>
    <s v="NULL"/>
    <x v="3"/>
    <n v="95.5"/>
    <n v="95.4"/>
    <n v="95.4"/>
    <n v="94.6"/>
    <n v="96.3"/>
    <n v="95.4"/>
    <n v="102.3"/>
    <n v="102.6"/>
    <n v="102.4"/>
    <n v="72.900000000000006"/>
    <n v="82.4"/>
    <n v="77.599999999999994"/>
    <n v="98.2"/>
    <x v="52"/>
    <n v="99.2"/>
    <n v="94.5"/>
    <n v="97.5"/>
    <n v="99.7"/>
  </r>
  <r>
    <x v="17"/>
    <x v="2"/>
    <s v="NULL"/>
    <s v="NULL"/>
    <s v="NULL"/>
    <s v="NULL"/>
    <s v="NULL"/>
    <s v="NULL"/>
    <s v="NULL"/>
    <s v="NULL"/>
    <s v="NULL"/>
    <s v="NULL"/>
    <s v="NULL"/>
    <s v="NULL"/>
    <x v="3"/>
    <n v="95.2"/>
    <n v="95"/>
    <n v="95.1"/>
    <n v="96.5"/>
    <n v="97.3"/>
    <n v="96.9"/>
    <n v="103.6"/>
    <n v="102.8"/>
    <n v="103.2"/>
    <n v="73.7"/>
    <n v="80.099999999999994"/>
    <n v="76.900000000000006"/>
    <n v="97"/>
    <x v="53"/>
    <n v="97.8"/>
    <n v="93.8"/>
    <n v="97"/>
    <n v="99.6"/>
  </r>
  <r>
    <x v="18"/>
    <x v="1"/>
    <s v="NULL"/>
    <s v="NULL"/>
    <s v="NULL"/>
    <s v="NULL"/>
    <s v="NULL"/>
    <s v="NULL"/>
    <s v="NULL"/>
    <s v="NULL"/>
    <s v="NULL"/>
    <s v="NULL"/>
    <s v="NULL"/>
    <s v="NULL"/>
    <x v="3"/>
    <n v="83.4"/>
    <n v="77.8"/>
    <n v="80.599999999999994"/>
    <n v="100.5"/>
    <n v="94.1"/>
    <n v="97.1"/>
    <n v="119.6"/>
    <n v="135.4"/>
    <n v="127.6"/>
    <n v="110.1"/>
    <n v="80.900000000000006"/>
    <n v="94.7"/>
    <n v="100"/>
    <x v="54"/>
    <n v="100"/>
    <n v="100"/>
    <n v="100"/>
    <n v="100"/>
  </r>
  <r>
    <x v="18"/>
    <x v="3"/>
    <s v="NULL"/>
    <s v="NULL"/>
    <s v="NULL"/>
    <s v="NULL"/>
    <s v="NULL"/>
    <s v="NULL"/>
    <s v="NULL"/>
    <s v="NULL"/>
    <s v="NULL"/>
    <s v="NULL"/>
    <s v="NULL"/>
    <s v="NULL"/>
    <x v="3"/>
    <n v="77.900000000000006"/>
    <n v="69.900000000000006"/>
    <n v="73.8"/>
    <n v="92.5"/>
    <n v="75.7"/>
    <n v="83.3"/>
    <n v="105.4"/>
    <n v="102.1"/>
    <n v="103.7"/>
    <n v="93.2"/>
    <n v="102.4"/>
    <n v="98.2"/>
    <n v="100"/>
    <x v="55"/>
    <n v="100"/>
    <n v="100"/>
    <n v="100"/>
    <n v="100"/>
  </r>
  <r>
    <x v="18"/>
    <x v="2"/>
    <s v="NULL"/>
    <s v="NULL"/>
    <s v="NULL"/>
    <s v="NULL"/>
    <s v="NULL"/>
    <s v="NULL"/>
    <s v="NULL"/>
    <s v="NULL"/>
    <s v="NULL"/>
    <s v="NULL"/>
    <s v="NULL"/>
    <s v="NULL"/>
    <x v="3"/>
    <n v="78.8"/>
    <n v="74.2"/>
    <n v="76.5"/>
    <n v="96.2"/>
    <n v="84.7"/>
    <n v="90"/>
    <n v="117.9"/>
    <n v="127.9"/>
    <n v="123"/>
    <n v="91.5"/>
    <n v="81.2"/>
    <n v="86"/>
    <n v="100"/>
    <x v="56"/>
    <n v="100"/>
    <n v="100"/>
    <n v="100"/>
    <n v="100"/>
  </r>
  <r>
    <x v="19"/>
    <x v="1"/>
    <n v="9.9"/>
    <n v="10.4"/>
    <n v="10.1"/>
    <n v="9.9"/>
    <n v="13.6"/>
    <n v="11.7"/>
    <n v="25.2"/>
    <n v="27.9"/>
    <n v="26.5"/>
    <n v="0.5"/>
    <n v="2.8"/>
    <n v="1.6"/>
    <x v="31"/>
    <n v="111.9"/>
    <n v="111.1"/>
    <n v="111.5"/>
    <n v="96"/>
    <n v="105.9"/>
    <n v="100.7"/>
    <n v="84.2"/>
    <n v="82.5"/>
    <n v="83.4"/>
    <n v="47.3"/>
    <n v="41.9"/>
    <n v="44.8"/>
    <n v="92.6"/>
    <x v="57"/>
    <n v="93"/>
    <n v="13"/>
    <n v="28.3"/>
    <n v="96.1"/>
  </r>
  <r>
    <x v="19"/>
    <x v="3"/>
    <s v="NULL"/>
    <s v="NULL"/>
    <s v="NULL"/>
    <s v="NULL"/>
    <s v="NULL"/>
    <s v="NULL"/>
    <s v="NULL"/>
    <s v="NULL"/>
    <s v="NULL"/>
    <s v="NULL"/>
    <s v="NULL"/>
    <s v="NULL"/>
    <x v="3"/>
    <n v="95.4"/>
    <n v="93.5"/>
    <n v="94.5"/>
    <n v="90.5"/>
    <n v="98.1"/>
    <n v="94"/>
    <n v="81.5"/>
    <n v="79.3"/>
    <n v="80.5"/>
    <n v="47"/>
    <n v="43.2"/>
    <n v="45.3"/>
    <n v="96.2"/>
    <x v="58"/>
    <n v="96.7"/>
    <n v="15.2"/>
    <n v="28.8"/>
    <n v="96.4"/>
  </r>
  <r>
    <x v="19"/>
    <x v="2"/>
    <s v="NULL"/>
    <s v="NULL"/>
    <s v="NULL"/>
    <s v="NULL"/>
    <s v="NULL"/>
    <s v="NULL"/>
    <s v="NULL"/>
    <s v="NULL"/>
    <s v="NULL"/>
    <s v="NULL"/>
    <s v="NULL"/>
    <s v="NULL"/>
    <x v="3"/>
    <n v="101.9"/>
    <n v="100.2"/>
    <n v="101.1"/>
    <n v="92.7"/>
    <n v="101.2"/>
    <n v="96.6"/>
    <n v="81"/>
    <n v="79.3"/>
    <n v="80.2"/>
    <n v="47.8"/>
    <n v="42.9"/>
    <n v="45.5"/>
    <n v="89.7"/>
    <x v="59"/>
    <n v="89.6"/>
    <n v="14.6"/>
    <n v="28.3"/>
    <n v="96.2"/>
  </r>
  <r>
    <x v="20"/>
    <x v="0"/>
    <n v="0.9"/>
    <n v="1.1000000000000001"/>
    <n v="1"/>
    <n v="0.9"/>
    <n v="2.7"/>
    <n v="1.7"/>
    <n v="16.600000000000001"/>
    <n v="15.7"/>
    <n v="16.2"/>
    <n v="2.6"/>
    <n v="3.9"/>
    <n v="3.2"/>
    <x v="32"/>
    <s v="NULL"/>
    <s v="NULL"/>
    <s v="NULL"/>
    <s v="NULL"/>
    <s v="NULL"/>
    <s v="NULL"/>
    <s v="NULL"/>
    <s v="NULL"/>
    <s v="NULL"/>
    <s v="NULL"/>
    <s v="NULL"/>
    <s v="NULL"/>
    <s v="NULL"/>
    <x v="0"/>
    <s v="NULL"/>
    <s v="NULL"/>
    <s v="NULL"/>
    <s v="NULL"/>
  </r>
  <r>
    <x v="20"/>
    <x v="1"/>
    <n v="0.5"/>
    <n v="0.6"/>
    <n v="0.6"/>
    <n v="4.9000000000000004"/>
    <n v="1.5"/>
    <n v="0.6"/>
    <n v="15"/>
    <n v="13.8"/>
    <n v="14.5"/>
    <n v="2.9"/>
    <n v="3.9"/>
    <n v="3.3"/>
    <x v="33"/>
    <n v="99.9"/>
    <n v="99.7"/>
    <n v="99.8"/>
    <n v="96.9"/>
    <n v="96.8"/>
    <n v="96.7"/>
    <n v="87.5"/>
    <n v="83.4"/>
    <n v="85.6"/>
    <n v="58.9"/>
    <n v="58.7"/>
    <n v="58.8"/>
    <n v="98.3"/>
    <x v="60"/>
    <n v="98.5"/>
    <n v="52.8"/>
    <n v="92.8"/>
    <n v="99.3"/>
  </r>
  <r>
    <x v="20"/>
    <x v="2"/>
    <n v="1.3"/>
    <n v="1.3"/>
    <n v="1.3"/>
    <n v="0.9"/>
    <n v="2.8"/>
    <n v="1.8"/>
    <n v="13.1"/>
    <n v="12.6"/>
    <n v="12.9"/>
    <n v="2"/>
    <n v="1.6"/>
    <n v="1.8"/>
    <x v="34"/>
    <n v="99"/>
    <n v="98.9"/>
    <n v="99"/>
    <n v="97.9"/>
    <n v="99.9"/>
    <n v="98.8"/>
    <n v="91.1"/>
    <n v="87.3"/>
    <n v="89.3"/>
    <n v="62.9"/>
    <n v="61.5"/>
    <n v="62.2"/>
    <n v="99.2"/>
    <x v="61"/>
    <n v="99.3"/>
    <n v="57.1"/>
    <n v="93.9"/>
    <n v="99.6"/>
  </r>
  <r>
    <x v="20"/>
    <x v="3"/>
    <s v="NULL"/>
    <s v="NULL"/>
    <s v="NULL"/>
    <s v="NULL"/>
    <s v="NULL"/>
    <s v="NULL"/>
    <s v="NULL"/>
    <s v="NULL"/>
    <s v="NULL"/>
    <s v="NULL"/>
    <s v="NULL"/>
    <s v="NULL"/>
    <x v="3"/>
    <n v="97.9"/>
    <n v="97.6"/>
    <n v="97.7"/>
    <n v="97.4"/>
    <n v="101.4"/>
    <n v="99.2"/>
    <n v="92"/>
    <n v="87.6"/>
    <n v="90"/>
    <n v="68.7"/>
    <n v="66.7"/>
    <n v="67.8"/>
    <n v="99.2"/>
    <x v="62"/>
    <n v="99.4"/>
    <n v="59.7"/>
    <n v="93.9"/>
    <n v="99.7"/>
  </r>
  <r>
    <x v="21"/>
    <x v="0"/>
    <n v="10.199999999999999"/>
    <n v="9.5"/>
    <n v="9.9"/>
    <n v="5.5"/>
    <n v="6.7"/>
    <n v="6.1"/>
    <n v="8.1999999999999993"/>
    <n v="11.4"/>
    <n v="9.8000000000000007"/>
    <n v="6"/>
    <n v="10.1"/>
    <n v="7.9"/>
    <x v="35"/>
    <s v="NULL"/>
    <s v="NULL"/>
    <s v="NULL"/>
    <s v="NULL"/>
    <s v="NULL"/>
    <s v="NULL"/>
    <s v="NULL"/>
    <s v="NULL"/>
    <s v="NULL"/>
    <s v="NULL"/>
    <s v="NULL"/>
    <s v="NULL"/>
    <s v="NULL"/>
    <x v="0"/>
    <s v="NULL"/>
    <s v="NULL"/>
    <s v="NULL"/>
    <s v="NULL"/>
  </r>
  <r>
    <x v="21"/>
    <x v="1"/>
    <n v="17.3"/>
    <n v="18.7"/>
    <n v="18"/>
    <n v="7.5"/>
    <n v="6.5"/>
    <n v="7"/>
    <n v="12.4"/>
    <n v="15.3"/>
    <n v="13.8"/>
    <n v="3.3"/>
    <n v="3.1"/>
    <n v="3.2"/>
    <x v="36"/>
    <n v="145.69999999999999"/>
    <n v="152.80000000000001"/>
    <n v="149.19999999999999"/>
    <n v="111.6"/>
    <n v="115.1"/>
    <n v="113.3"/>
    <n v="84.8"/>
    <n v="83.8"/>
    <n v="84.3"/>
    <n v="65.5"/>
    <n v="58.9"/>
    <n v="62.2"/>
    <n v="95.3"/>
    <x v="63"/>
    <n v="98.2"/>
    <n v="25.6"/>
    <n v="31"/>
    <n v="89.1"/>
  </r>
  <r>
    <x v="21"/>
    <x v="3"/>
    <s v="NULL"/>
    <s v="NULL"/>
    <s v="NULL"/>
    <s v="NULL"/>
    <s v="NULL"/>
    <s v="NULL"/>
    <s v="NULL"/>
    <s v="NULL"/>
    <s v="NULL"/>
    <s v="NULL"/>
    <s v="NULL"/>
    <s v="NULL"/>
    <x v="3"/>
    <n v="128.9"/>
    <n v="132.9"/>
    <n v="130.9"/>
    <n v="127"/>
    <n v="132.9"/>
    <n v="129.9"/>
    <n v="93.6"/>
    <n v="92.5"/>
    <n v="93.1"/>
    <n v="71.099999999999994"/>
    <n v="64.8"/>
    <n v="68"/>
    <n v="98.7"/>
    <x v="64"/>
    <n v="98.7"/>
    <n v="27.2"/>
    <n v="39.299999999999997"/>
    <n v="99.6"/>
  </r>
  <r>
    <x v="21"/>
    <x v="2"/>
    <s v="NULL"/>
    <s v="NULL"/>
    <s v="NULL"/>
    <s v="NULL"/>
    <s v="NULL"/>
    <s v="NULL"/>
    <s v="NULL"/>
    <s v="NULL"/>
    <s v="NULL"/>
    <s v="NULL"/>
    <s v="NULL"/>
    <s v="NULL"/>
    <x v="3"/>
    <n v="132.5"/>
    <n v="136.4"/>
    <n v="134.4"/>
    <n v="115.4"/>
    <n v="122.3"/>
    <n v="118.8"/>
    <n v="91.4"/>
    <n v="89.8"/>
    <n v="90.6"/>
    <n v="68.400000000000006"/>
    <n v="62.5"/>
    <n v="65.400000000000006"/>
    <n v="94.9"/>
    <x v="65"/>
    <n v="95.5"/>
    <n v="25.2"/>
    <n v="30.7"/>
    <n v="88.6"/>
  </r>
  <r>
    <x v="22"/>
    <x v="1"/>
    <s v="NULL"/>
    <s v="NULL"/>
    <s v="NULL"/>
    <s v="NULL"/>
    <s v="NULL"/>
    <s v="NULL"/>
    <s v="NULL"/>
    <s v="NULL"/>
    <s v="NULL"/>
    <s v="NULL"/>
    <s v="NULL"/>
    <s v="NULL"/>
    <x v="3"/>
    <n v="132.9"/>
    <n v="137.9"/>
    <n v="135.4"/>
    <n v="102.2"/>
    <n v="120"/>
    <n v="111"/>
    <n v="67.099999999999994"/>
    <n v="78.599999999999994"/>
    <n v="72.8"/>
    <n v="19.600000000000001"/>
    <n v="26.4"/>
    <n v="22.9"/>
    <n v="53.7"/>
    <x v="66"/>
    <n v="51"/>
    <n v="9"/>
    <n v="24.5"/>
    <n v="61.8"/>
  </r>
  <r>
    <x v="22"/>
    <x v="3"/>
    <s v="NULL"/>
    <s v="NULL"/>
    <s v="NULL"/>
    <s v="NULL"/>
    <s v="NULL"/>
    <s v="NULL"/>
    <s v="NULL"/>
    <s v="NULL"/>
    <s v="NULL"/>
    <s v="NULL"/>
    <s v="NULL"/>
    <s v="NULL"/>
    <x v="3"/>
    <n v="138.80000000000001"/>
    <n v="143.1"/>
    <n v="140.9"/>
    <n v="126"/>
    <n v="146.19999999999999"/>
    <n v="135.9"/>
    <n v="80.7"/>
    <n v="93.9"/>
    <n v="87.3"/>
    <n v="39.799999999999997"/>
    <n v="47"/>
    <n v="43.4"/>
    <n v="86.4"/>
    <x v="67"/>
    <n v="84.3"/>
    <n v="11.7"/>
    <n v="28.5"/>
    <n v="63.8"/>
  </r>
  <r>
    <x v="22"/>
    <x v="2"/>
    <s v="NULL"/>
    <s v="NULL"/>
    <s v="NULL"/>
    <s v="NULL"/>
    <s v="NULL"/>
    <s v="NULL"/>
    <s v="NULL"/>
    <s v="NULL"/>
    <s v="NULL"/>
    <s v="NULL"/>
    <s v="NULL"/>
    <s v="NULL"/>
    <x v="3"/>
    <n v="136.19999999999999"/>
    <n v="140.69999999999999"/>
    <n v="138.4"/>
    <n v="113.3"/>
    <n v="131.1"/>
    <n v="122"/>
    <n v="75.099999999999994"/>
    <n v="87.1"/>
    <n v="81.099999999999994"/>
    <n v="32"/>
    <n v="40.200000000000003"/>
    <n v="36"/>
    <n v="64.5"/>
    <x v="68"/>
    <n v="63.9"/>
    <n v="10.6"/>
    <n v="26.7"/>
    <n v="63.7"/>
  </r>
  <r>
    <x v="23"/>
    <x v="2"/>
    <n v="10.199999999999999"/>
    <n v="10"/>
    <n v="10.1"/>
    <n v="5.5"/>
    <n v="4.0999999999999996"/>
    <n v="4.8"/>
    <n v="23"/>
    <n v="20.7"/>
    <n v="21.9"/>
    <n v="9"/>
    <n v="4.9000000000000004"/>
    <n v="6.9"/>
    <x v="37"/>
    <n v="124.8"/>
    <n v="120.4"/>
    <n v="122.7"/>
    <n v="127.6"/>
    <n v="126"/>
    <n v="126.8"/>
    <n v="107.2"/>
    <n v="109.1"/>
    <n v="108.2"/>
    <n v="61.9"/>
    <n v="62.3"/>
    <n v="62.1"/>
    <n v="97.3"/>
    <x v="69"/>
    <n v="99.8"/>
    <n v="31.9"/>
    <n v="74.599999999999994"/>
    <n v="92.2"/>
  </r>
  <r>
    <x v="23"/>
    <x v="1"/>
    <s v="NULL"/>
    <s v="NULL"/>
    <s v="NULL"/>
    <s v="NULL"/>
    <s v="NULL"/>
    <s v="NULL"/>
    <s v="NULL"/>
    <s v="NULL"/>
    <s v="NULL"/>
    <s v="NULL"/>
    <s v="NULL"/>
    <s v="NULL"/>
    <x v="3"/>
    <n v="127.9"/>
    <n v="123.9"/>
    <n v="126"/>
    <n v="119.4"/>
    <n v="118"/>
    <n v="118.7"/>
    <n v="105.9"/>
    <n v="107.3"/>
    <n v="106.6"/>
    <n v="58"/>
    <n v="61.9"/>
    <n v="59.9"/>
    <n v="73.3"/>
    <x v="70"/>
    <n v="99.6"/>
    <n v="27.8"/>
    <n v="73.8"/>
    <n v="93.4"/>
  </r>
  <r>
    <x v="23"/>
    <x v="3"/>
    <s v="NULL"/>
    <s v="NULL"/>
    <s v="NULL"/>
    <s v="NULL"/>
    <s v="NULL"/>
    <s v="NULL"/>
    <s v="NULL"/>
    <s v="NULL"/>
    <s v="NULL"/>
    <s v="NULL"/>
    <s v="NULL"/>
    <s v="NULL"/>
    <x v="3"/>
    <n v="124.9"/>
    <n v="121"/>
    <n v="123"/>
    <n v="135.9"/>
    <n v="133.6"/>
    <n v="134.80000000000001"/>
    <n v="107.3"/>
    <n v="110.9"/>
    <n v="109"/>
    <n v="53.6"/>
    <n v="57.9"/>
    <n v="55.7"/>
    <n v="98"/>
    <x v="71"/>
    <n v="99.3"/>
    <n v="32.799999999999997"/>
    <n v="76.900000000000006"/>
    <n v="93.1"/>
  </r>
  <r>
    <x v="24"/>
    <x v="0"/>
    <n v="7.1"/>
    <n v="7"/>
    <n v="7.1"/>
    <n v="10.199999999999999"/>
    <n v="9.5"/>
    <n v="9.8000000000000007"/>
    <n v="26.7"/>
    <n v="26.3"/>
    <n v="26.5"/>
    <n v="18.7"/>
    <n v="17.899999999999999"/>
    <n v="18.3"/>
    <x v="38"/>
    <s v="NULL"/>
    <s v="NULL"/>
    <s v="NULL"/>
    <s v="NULL"/>
    <s v="NULL"/>
    <s v="NULL"/>
    <s v="NULL"/>
    <s v="NULL"/>
    <s v="NULL"/>
    <s v="NULL"/>
    <s v="NULL"/>
    <s v="NULL"/>
    <s v="NULL"/>
    <x v="0"/>
    <s v="NULL"/>
    <s v="NULL"/>
    <s v="NULL"/>
    <s v="NULL"/>
  </r>
  <r>
    <x v="24"/>
    <x v="1"/>
    <n v="19.100000000000001"/>
    <n v="19.7"/>
    <n v="19.399999999999999"/>
    <n v="18.100000000000001"/>
    <n v="17.600000000000001"/>
    <n v="17.899999999999999"/>
    <n v="34.1"/>
    <n v="36.1"/>
    <n v="35.1"/>
    <n v="15.4"/>
    <n v="13"/>
    <n v="14.2"/>
    <x v="39"/>
    <n v="116.7"/>
    <n v="121.1"/>
    <n v="118.8"/>
    <n v="99.1"/>
    <n v="106.7"/>
    <n v="102.7"/>
    <n v="66.3"/>
    <n v="70.3"/>
    <n v="68.2"/>
    <n v="33.700000000000003"/>
    <n v="32.299999999999997"/>
    <n v="33"/>
    <n v="87.9"/>
    <x v="72"/>
    <n v="97.1"/>
    <n v="35"/>
    <n v="39.1"/>
    <n v="72.3"/>
  </r>
  <r>
    <x v="24"/>
    <x v="2"/>
    <n v="6.2"/>
    <n v="5"/>
    <n v="5.6"/>
    <n v="7.9"/>
    <n v="8"/>
    <n v="7.9"/>
    <n v="18"/>
    <n v="18.5"/>
    <n v="18.2"/>
    <n v="10.4"/>
    <n v="3.2"/>
    <n v="7"/>
    <x v="40"/>
    <n v="99.3"/>
    <n v="101.9"/>
    <n v="100.6"/>
    <n v="94.3"/>
    <n v="101.4"/>
    <n v="97.7"/>
    <n v="62.3"/>
    <n v="66.900000000000006"/>
    <n v="64.5"/>
    <n v="34.1"/>
    <n v="33.1"/>
    <n v="33.6"/>
    <n v="94.7"/>
    <x v="73"/>
    <n v="99.4"/>
    <n v="35.700000000000003"/>
    <n v="40.9"/>
    <n v="78.2"/>
  </r>
  <r>
    <x v="24"/>
    <x v="3"/>
    <s v="NULL"/>
    <s v="NULL"/>
    <s v="NULL"/>
    <s v="NULL"/>
    <s v="NULL"/>
    <s v="NULL"/>
    <s v="NULL"/>
    <s v="NULL"/>
    <s v="NULL"/>
    <s v="NULL"/>
    <s v="NULL"/>
    <s v="NULL"/>
    <x v="3"/>
    <n v="98.1"/>
    <n v="101"/>
    <n v="99.5"/>
    <n v="98.6"/>
    <n v="106.4"/>
    <n v="102.3"/>
    <n v="68.900000000000006"/>
    <n v="74.599999999999994"/>
    <n v="71.599999999999994"/>
    <n v="36.4"/>
    <n v="36.4"/>
    <n v="36.4"/>
    <n v="98.7"/>
    <x v="74"/>
    <n v="99.9"/>
    <n v="40.1"/>
    <n v="51.7"/>
    <n v="82.1"/>
  </r>
  <r>
    <x v="25"/>
    <x v="3"/>
    <s v="NULL"/>
    <s v="NULL"/>
    <s v="NULL"/>
    <s v="NULL"/>
    <s v="NULL"/>
    <s v="NULL"/>
    <s v="NULL"/>
    <s v="NULL"/>
    <s v="NULL"/>
    <s v="NULL"/>
    <s v="NULL"/>
    <s v="NULL"/>
    <x v="3"/>
    <n v="104.9"/>
    <n v="102.5"/>
    <n v="103.7"/>
    <n v="94.9"/>
    <n v="93.6"/>
    <n v="94.3"/>
    <n v="79.400000000000006"/>
    <n v="79.8"/>
    <n v="79.599999999999994"/>
    <n v="37"/>
    <n v="36.1"/>
    <n v="36.5"/>
    <n v="93.8"/>
    <x v="75"/>
    <n v="97.1"/>
    <n v="15"/>
    <n v="33"/>
    <n v="99.4"/>
  </r>
  <r>
    <x v="25"/>
    <x v="1"/>
    <s v="NULL"/>
    <s v="NULL"/>
    <s v="NULL"/>
    <s v="NULL"/>
    <s v="NULL"/>
    <s v="NULL"/>
    <s v="NULL"/>
    <s v="NULL"/>
    <s v="NULL"/>
    <s v="NULL"/>
    <s v="NULL"/>
    <s v="NULL"/>
    <x v="3"/>
    <s v="NULL"/>
    <s v="NULL"/>
    <s v="NULL"/>
    <s v="NULL"/>
    <s v="NULL"/>
    <s v="NULL"/>
    <s v="NULL"/>
    <s v="NULL"/>
    <s v="NULL"/>
    <s v="NULL"/>
    <s v="NULL"/>
    <s v="NULL"/>
    <n v="76.599999999999994"/>
    <x v="0"/>
    <n v="86"/>
    <n v="10.6"/>
    <n v="27.9"/>
    <n v="96.9"/>
  </r>
  <r>
    <x v="25"/>
    <x v="2"/>
    <s v="NULL"/>
    <s v="NULL"/>
    <s v="NULL"/>
    <s v="NULL"/>
    <s v="NULL"/>
    <s v="NULL"/>
    <s v="NULL"/>
    <s v="NULL"/>
    <s v="NULL"/>
    <s v="NULL"/>
    <s v="NULL"/>
    <s v="NULL"/>
    <x v="3"/>
    <s v="NULL"/>
    <s v="NULL"/>
    <s v="NULL"/>
    <s v="NULL"/>
    <s v="NULL"/>
    <s v="NULL"/>
    <s v="NULL"/>
    <s v="NULL"/>
    <s v="NULL"/>
    <s v="NULL"/>
    <s v="NULL"/>
    <s v="NULL"/>
    <n v="82.5"/>
    <x v="0"/>
    <n v="88.3"/>
    <n v="13.7"/>
    <n v="29.7"/>
    <n v="98"/>
  </r>
  <r>
    <x v="26"/>
    <x v="0"/>
    <n v="0.3"/>
    <n v="0.4"/>
    <n v="0.3"/>
    <n v="0.3"/>
    <n v="1.1000000000000001"/>
    <n v="0.7"/>
    <n v="18.5"/>
    <n v="11.7"/>
    <n v="15.2"/>
    <n v="6.8"/>
    <n v="3.9"/>
    <n v="5.3"/>
    <x v="41"/>
    <s v="NULL"/>
    <s v="NULL"/>
    <s v="NULL"/>
    <s v="NULL"/>
    <s v="NULL"/>
    <s v="NULL"/>
    <s v="NULL"/>
    <s v="NULL"/>
    <s v="NULL"/>
    <s v="NULL"/>
    <s v="NULL"/>
    <s v="NULL"/>
    <s v="NULL"/>
    <x v="0"/>
    <s v="NULL"/>
    <s v="NULL"/>
    <s v="NULL"/>
    <s v="NULL"/>
  </r>
  <r>
    <x v="26"/>
    <x v="1"/>
    <n v="0.8"/>
    <n v="0.6"/>
    <n v="0.7"/>
    <n v="0.4"/>
    <n v="0.8"/>
    <n v="0.6"/>
    <n v="18.2"/>
    <n v="10"/>
    <n v="14.2"/>
    <n v="13.2"/>
    <n v="9.3000000000000007"/>
    <n v="11.2"/>
    <x v="42"/>
    <n v="89.5"/>
    <n v="95.4"/>
    <n v="92.3"/>
    <n v="92.4"/>
    <n v="98.1"/>
    <n v="95.1"/>
    <n v="97.8"/>
    <n v="104.6"/>
    <n v="101"/>
    <n v="64.2"/>
    <n v="84.2"/>
    <n v="73.5"/>
    <n v="99.9"/>
    <x v="76"/>
    <n v="100"/>
    <n v="97.6"/>
    <n v="100"/>
    <n v="100"/>
  </r>
  <r>
    <x v="26"/>
    <x v="2"/>
    <n v="0.4"/>
    <n v="0.4"/>
    <n v="0.4"/>
    <n v="0.4"/>
    <n v="0.7"/>
    <n v="0.6"/>
    <n v="14.9"/>
    <n v="9.4"/>
    <n v="12.2"/>
    <n v="5.4"/>
    <n v="3.7"/>
    <n v="4.5"/>
    <x v="20"/>
    <n v="84.5"/>
    <n v="92.4"/>
    <n v="88.2"/>
    <n v="86.9"/>
    <n v="94"/>
    <n v="90.2"/>
    <n v="90.3"/>
    <n v="101.9"/>
    <n v="95.7"/>
    <n v="61.3"/>
    <n v="82.2"/>
    <n v="70.900000000000006"/>
    <n v="99.9"/>
    <x v="77"/>
    <n v="100"/>
    <n v="97.8"/>
    <n v="100"/>
    <n v="99.7"/>
  </r>
  <r>
    <x v="26"/>
    <x v="3"/>
    <s v="NULL"/>
    <s v="NULL"/>
    <s v="NULL"/>
    <s v="NULL"/>
    <s v="NULL"/>
    <s v="NULL"/>
    <s v="NULL"/>
    <s v="NULL"/>
    <s v="NULL"/>
    <s v="NULL"/>
    <s v="NULL"/>
    <s v="NULL"/>
    <x v="3"/>
    <n v="80.2"/>
    <n v="90.2"/>
    <n v="84.8"/>
    <n v="82.4"/>
    <n v="92.6"/>
    <n v="87"/>
    <n v="83.6"/>
    <n v="95.4"/>
    <n v="89"/>
    <n v="64.7"/>
    <n v="87"/>
    <n v="74.8"/>
    <n v="100"/>
    <x v="78"/>
    <n v="100"/>
    <n v="98.8"/>
    <n v="100"/>
    <n v="100"/>
  </r>
  <r>
    <x v="27"/>
    <x v="0"/>
    <n v="2"/>
    <n v="2"/>
    <n v="2"/>
    <n v="2.6"/>
    <n v="3"/>
    <n v="2.8"/>
    <n v="9.4"/>
    <n v="10.3"/>
    <n v="9.8000000000000007"/>
    <n v="9.6999999999999993"/>
    <n v="6.5"/>
    <n v="8.3000000000000007"/>
    <x v="43"/>
    <s v="NULL"/>
    <s v="NULL"/>
    <s v="NULL"/>
    <s v="NULL"/>
    <s v="NULL"/>
    <s v="NULL"/>
    <s v="NULL"/>
    <s v="NULL"/>
    <s v="NULL"/>
    <s v="NULL"/>
    <s v="NULL"/>
    <s v="NULL"/>
    <s v="NULL"/>
    <x v="0"/>
    <s v="NULL"/>
    <s v="NULL"/>
    <s v="NULL"/>
    <s v="NULL"/>
  </r>
  <r>
    <x v="27"/>
    <x v="1"/>
    <n v="1.4"/>
    <n v="1.2"/>
    <n v="1.3"/>
    <n v="2.5"/>
    <n v="3.3"/>
    <n v="2.9"/>
    <n v="8.9"/>
    <n v="8.6999999999999993"/>
    <n v="8.8000000000000007"/>
    <n v="7.9"/>
    <n v="3.2"/>
    <n v="5.8"/>
    <x v="44"/>
    <n v="104.3"/>
    <n v="107.2"/>
    <n v="105.6"/>
    <n v="94"/>
    <n v="97"/>
    <n v="95.3"/>
    <n v="87.7"/>
    <n v="84.7"/>
    <n v="86.4"/>
    <n v="72.099999999999994"/>
    <n v="71.400000000000006"/>
    <n v="71.8"/>
    <n v="97"/>
    <x v="79"/>
    <n v="97.8"/>
    <n v="52"/>
    <n v="99.9"/>
    <n v="99.8"/>
  </r>
  <r>
    <x v="27"/>
    <x v="2"/>
    <n v="2.9"/>
    <n v="3.3"/>
    <n v="3.1"/>
    <n v="3"/>
    <n v="3.6"/>
    <n v="3.2"/>
    <n v="9.1999999999999993"/>
    <n v="8.4"/>
    <n v="8.9"/>
    <n v="7.5"/>
    <n v="3.7"/>
    <n v="5.8"/>
    <x v="45"/>
    <n v="103.4"/>
    <n v="107.3"/>
    <n v="105.1"/>
    <n v="94.6"/>
    <n v="99.7"/>
    <n v="96.8"/>
    <n v="85.7"/>
    <n v="85.4"/>
    <n v="85.6"/>
    <n v="68.599999999999994"/>
    <n v="70.400000000000006"/>
    <n v="69.400000000000006"/>
    <n v="97.4"/>
    <x v="80"/>
    <n v="99.1"/>
    <n v="52.5"/>
    <n v="99.9"/>
    <n v="100"/>
  </r>
  <r>
    <x v="27"/>
    <x v="3"/>
    <s v="NULL"/>
    <s v="NULL"/>
    <s v="NULL"/>
    <s v="NULL"/>
    <s v="NULL"/>
    <s v="NULL"/>
    <s v="NULL"/>
    <s v="NULL"/>
    <s v="NULL"/>
    <s v="NULL"/>
    <s v="NULL"/>
    <s v="NULL"/>
    <x v="3"/>
    <n v="99.9"/>
    <n v="104"/>
    <n v="101.7"/>
    <n v="95"/>
    <n v="102.9"/>
    <n v="98.4"/>
    <n v="87.1"/>
    <n v="87"/>
    <n v="87.1"/>
    <n v="69"/>
    <n v="71.7"/>
    <n v="70.2"/>
    <n v="99.6"/>
    <x v="81"/>
    <n v="99.8"/>
    <n v="52.8"/>
    <n v="99.9"/>
    <n v="100"/>
  </r>
  <r>
    <x v="28"/>
    <x v="1"/>
    <s v="NULL"/>
    <s v="NULL"/>
    <s v="NULL"/>
    <s v="NULL"/>
    <s v="NULL"/>
    <s v="NULL"/>
    <s v="NULL"/>
    <s v="NULL"/>
    <s v="NULL"/>
    <s v="NULL"/>
    <s v="NULL"/>
    <s v="NULL"/>
    <x v="3"/>
    <n v="102.4"/>
    <n v="100.6"/>
    <n v="101.5"/>
    <n v="86.8"/>
    <n v="81.900000000000006"/>
    <n v="84.6"/>
    <n v="85.3"/>
    <n v="71"/>
    <n v="78.7"/>
    <n v="60.5"/>
    <n v="44.5"/>
    <n v="53"/>
    <n v="96"/>
    <x v="82"/>
    <n v="97.9"/>
    <n v="23.5"/>
    <n v="52.1"/>
    <n v="96.3"/>
  </r>
  <r>
    <x v="28"/>
    <x v="3"/>
    <s v="NULL"/>
    <s v="NULL"/>
    <s v="NULL"/>
    <s v="NULL"/>
    <s v="NULL"/>
    <s v="NULL"/>
    <s v="NULL"/>
    <s v="NULL"/>
    <s v="NULL"/>
    <s v="NULL"/>
    <s v="NULL"/>
    <s v="NULL"/>
    <x v="3"/>
    <n v="101.3"/>
    <n v="99.5"/>
    <n v="100.4"/>
    <n v="91.5"/>
    <n v="91.2"/>
    <n v="91.3"/>
    <n v="81.2"/>
    <n v="70.099999999999994"/>
    <n v="76.099999999999994"/>
    <n v="66.099999999999994"/>
    <n v="51.6"/>
    <n v="59.3"/>
    <n v="99.2"/>
    <x v="83"/>
    <n v="99.7"/>
    <n v="30.1"/>
    <n v="56.7"/>
    <n v="96.8"/>
  </r>
  <r>
    <x v="28"/>
    <x v="2"/>
    <s v="NULL"/>
    <s v="NULL"/>
    <s v="NULL"/>
    <s v="NULL"/>
    <s v="NULL"/>
    <s v="NULL"/>
    <s v="NULL"/>
    <s v="NULL"/>
    <s v="NULL"/>
    <s v="NULL"/>
    <s v="NULL"/>
    <s v="NULL"/>
    <x v="3"/>
    <n v="99.8"/>
    <n v="97.3"/>
    <n v="98.6"/>
    <n v="87.4"/>
    <n v="83.9"/>
    <n v="85.8"/>
    <n v="82.7"/>
    <n v="68.599999999999994"/>
    <n v="76.2"/>
    <n v="63.9"/>
    <n v="48"/>
    <n v="56.5"/>
    <n v="96.9"/>
    <x v="84"/>
    <n v="98"/>
    <n v="28.6"/>
    <n v="55.3"/>
    <n v="97.1"/>
  </r>
  <r>
    <x v="29"/>
    <x v="0"/>
    <n v="4.8"/>
    <n v="2.2999999999999998"/>
    <n v="3.6"/>
    <n v="2.6"/>
    <n v="3.6"/>
    <n v="3.2"/>
    <n v="9.9"/>
    <n v="8.6"/>
    <n v="9.1999999999999993"/>
    <n v="11.8"/>
    <n v="4.9000000000000004"/>
    <n v="8.1"/>
    <x v="46"/>
    <s v="NULL"/>
    <s v="NULL"/>
    <s v="NULL"/>
    <s v="NULL"/>
    <s v="NULL"/>
    <s v="NULL"/>
    <s v="NULL"/>
    <s v="NULL"/>
    <s v="NULL"/>
    <s v="NULL"/>
    <s v="NULL"/>
    <s v="NULL"/>
    <s v="NULL"/>
    <x v="0"/>
    <s v="NULL"/>
    <s v="NULL"/>
    <s v="NULL"/>
    <s v="NULL"/>
  </r>
  <r>
    <x v="29"/>
    <x v="1"/>
    <n v="5.6"/>
    <n v="3.5"/>
    <n v="4.5999999999999996"/>
    <n v="6.4"/>
    <n v="4"/>
    <n v="5.0999999999999996"/>
    <n v="13.7"/>
    <n v="12.1"/>
    <n v="12.9"/>
    <n v="14.1"/>
    <n v="11.9"/>
    <n v="12.9"/>
    <x v="47"/>
    <n v="128.19999999999999"/>
    <n v="120.6"/>
    <n v="124.4"/>
    <n v="133"/>
    <n v="115"/>
    <n v="138.80000000000001"/>
    <n v="90.2"/>
    <n v="106.7"/>
    <n v="98.4"/>
    <n v="54.8"/>
    <n v="70.599999999999994"/>
    <n v="62.6"/>
    <n v="97"/>
    <x v="85"/>
    <n v="99.3"/>
    <n v="53.3"/>
    <n v="69.3"/>
    <n v="97.2"/>
  </r>
  <r>
    <x v="29"/>
    <x v="2"/>
    <n v="3.8"/>
    <n v="0.6"/>
    <n v="2.2999999999999998"/>
    <n v="2.1"/>
    <n v="1.1000000000000001"/>
    <n v="1.6"/>
    <n v="17.600000000000001"/>
    <n v="14.4"/>
    <n v="15.9"/>
    <n v="12.5"/>
    <n v="11.2"/>
    <n v="11.8"/>
    <x v="48"/>
    <n v="117"/>
    <n v="108.1"/>
    <n v="112.6"/>
    <n v="134"/>
    <n v="147.69999999999999"/>
    <n v="140.69999999999999"/>
    <n v="104.1"/>
    <n v="118.5"/>
    <n v="111.3"/>
    <n v="60.6"/>
    <n v="76.7"/>
    <n v="68.599999999999994"/>
    <n v="98.2"/>
    <x v="86"/>
    <n v="98.9"/>
    <n v="58.6"/>
    <n v="70.7"/>
    <n v="97.2"/>
  </r>
  <r>
    <x v="29"/>
    <x v="3"/>
    <s v="NULL"/>
    <s v="NULL"/>
    <s v="NULL"/>
    <s v="NULL"/>
    <s v="NULL"/>
    <s v="NULL"/>
    <s v="NULL"/>
    <s v="NULL"/>
    <s v="NULL"/>
    <s v="NULL"/>
    <s v="NULL"/>
    <s v="NULL"/>
    <x v="3"/>
    <n v="107.3"/>
    <n v="98.3"/>
    <n v="102.9"/>
    <n v="143.69999999999999"/>
    <n v="157.9"/>
    <n v="150.6"/>
    <n v="113.5"/>
    <n v="126.1"/>
    <n v="119.8"/>
    <n v="60.7"/>
    <n v="75.900000000000006"/>
    <n v="68.2"/>
    <n v="99.8"/>
    <x v="87"/>
    <n v="99.8"/>
    <n v="60.4"/>
    <n v="84"/>
    <n v="98.5"/>
  </r>
  <r>
    <x v="30"/>
    <x v="0"/>
    <n v="4"/>
    <n v="4.0999999999999996"/>
    <n v="4.0999999999999996"/>
    <n v="0.4"/>
    <n v="2.1"/>
    <n v="1.2"/>
    <n v="14.3"/>
    <n v="5.9"/>
    <n v="10.199999999999999"/>
    <n v="1.3"/>
    <n v="2.2999999999999998"/>
    <n v="1.9"/>
    <x v="49"/>
    <s v="NULL"/>
    <s v="NULL"/>
    <s v="NULL"/>
    <s v="NULL"/>
    <s v="NULL"/>
    <s v="NULL"/>
    <s v="NULL"/>
    <s v="NULL"/>
    <s v="NULL"/>
    <s v="NULL"/>
    <s v="NULL"/>
    <s v="NULL"/>
    <s v="NULL"/>
    <x v="0"/>
    <s v="NULL"/>
    <s v="NULL"/>
    <s v="NULL"/>
    <s v="NULL"/>
  </r>
  <r>
    <x v="30"/>
    <x v="1"/>
    <n v="0.5"/>
    <n v="0.4"/>
    <n v="0.5"/>
    <n v="4.4000000000000004"/>
    <n v="4.7"/>
    <n v="4.5"/>
    <n v="16.100000000000001"/>
    <n v="8"/>
    <n v="12.2"/>
    <n v="4.5999999999999996"/>
    <n v="4.4000000000000004"/>
    <n v="4.4000000000000004"/>
    <x v="0"/>
    <n v="102.4"/>
    <n v="102.7"/>
    <n v="102.6"/>
    <n v="97.2"/>
    <n v="99.5"/>
    <n v="98.3"/>
    <n v="91.8"/>
    <n v="93.3"/>
    <n v="92.5"/>
    <n v="68"/>
    <n v="84.5"/>
    <n v="75.900000000000006"/>
    <n v="90.9"/>
    <x v="88"/>
    <n v="96.9"/>
    <n v="54.1"/>
    <n v="97.7"/>
    <n v="100"/>
  </r>
  <r>
    <x v="30"/>
    <x v="3"/>
    <s v="NULL"/>
    <s v="NULL"/>
    <s v="NULL"/>
    <s v="NULL"/>
    <s v="NULL"/>
    <s v="NULL"/>
    <s v="NULL"/>
    <s v="NULL"/>
    <s v="NULL"/>
    <s v="NULL"/>
    <s v="NULL"/>
    <s v="NULL"/>
    <x v="3"/>
    <n v="103.4"/>
    <n v="104.4"/>
    <n v="103.9"/>
    <n v="92.6"/>
    <n v="95.7"/>
    <n v="94"/>
    <n v="91.9"/>
    <n v="96.2"/>
    <n v="93.9"/>
    <n v="74.099999999999994"/>
    <n v="90.6"/>
    <n v="82"/>
    <n v="99.7"/>
    <x v="89"/>
    <n v="99.9"/>
    <n v="57.6"/>
    <n v="99.1"/>
    <n v="100"/>
  </r>
  <r>
    <x v="30"/>
    <x v="2"/>
    <s v="NULL"/>
    <s v="NULL"/>
    <s v="NULL"/>
    <s v="NULL"/>
    <s v="NULL"/>
    <s v="NULL"/>
    <s v="NULL"/>
    <s v="NULL"/>
    <s v="NULL"/>
    <s v="NULL"/>
    <s v="NULL"/>
    <s v="NULL"/>
    <x v="3"/>
    <n v="102.8"/>
    <n v="103.5"/>
    <n v="103.1"/>
    <n v="93.4"/>
    <n v="95.9"/>
    <n v="94.6"/>
    <n v="90.2"/>
    <n v="93.7"/>
    <n v="91.9"/>
    <n v="70"/>
    <n v="85.7"/>
    <n v="77.5"/>
    <n v="99.3"/>
    <x v="90"/>
    <n v="99.7"/>
    <n v="57.3"/>
    <n v="98.5"/>
    <n v="99.8"/>
  </r>
  <r>
    <x v="31"/>
    <x v="1"/>
    <n v="6"/>
    <n v="5.6"/>
    <n v="5.8"/>
    <n v="4.5999999999999996"/>
    <n v="4.8"/>
    <n v="4.7"/>
    <n v="18"/>
    <n v="16.899999999999999"/>
    <n v="17.399999999999999"/>
    <n v="13.7"/>
    <n v="13.2"/>
    <n v="13.4"/>
    <x v="50"/>
    <s v="NULL"/>
    <s v="NULL"/>
    <s v="NULL"/>
    <s v="NULL"/>
    <s v="NULL"/>
    <s v="NULL"/>
    <s v="NULL"/>
    <s v="NULL"/>
    <s v="NULL"/>
    <s v="NULL"/>
    <s v="NULL"/>
    <s v="NULL"/>
    <s v="NULL"/>
    <x v="0"/>
    <s v="NULL"/>
    <s v="NULL"/>
    <s v="NULL"/>
    <s v="NULL"/>
  </r>
  <r>
    <x v="31"/>
    <x v="2"/>
    <n v="2.2000000000000002"/>
    <n v="1.9"/>
    <n v="2.1"/>
    <n v="2.4"/>
    <n v="2.2000000000000002"/>
    <n v="2.2999999999999998"/>
    <n v="16.5"/>
    <n v="14.5"/>
    <n v="15.5"/>
    <n v="2.1"/>
    <n v="7.9"/>
    <n v="0.8"/>
    <x v="51"/>
    <n v="103.6"/>
    <n v="103.6"/>
    <n v="103.6"/>
    <n v="89.9"/>
    <n v="91.9"/>
    <n v="90.9"/>
    <n v="79.7"/>
    <n v="85"/>
    <n v="82.3"/>
    <n v="55.6"/>
    <n v="61.3"/>
    <n v="58.3"/>
    <n v="73.400000000000006"/>
    <x v="91"/>
    <n v="92.1"/>
    <n v="37.9"/>
    <n v="91.1"/>
    <n v="93.6"/>
  </r>
  <r>
    <x v="31"/>
    <x v="3"/>
    <s v="NULL"/>
    <s v="NULL"/>
    <s v="NULL"/>
    <s v="NULL"/>
    <s v="NULL"/>
    <s v="NULL"/>
    <s v="NULL"/>
    <s v="NULL"/>
    <s v="NULL"/>
    <s v="NULL"/>
    <s v="NULL"/>
    <s v="NULL"/>
    <x v="3"/>
    <n v="103.1"/>
    <n v="102.9"/>
    <n v="103"/>
    <n v="88.6"/>
    <n v="90.3"/>
    <n v="89.4"/>
    <n v="80.7"/>
    <n v="84.4"/>
    <n v="82.5"/>
    <n v="58"/>
    <n v="64.900000000000006"/>
    <n v="61.3"/>
    <n v="100"/>
    <x v="92"/>
    <n v="100"/>
    <n v="35.5"/>
    <n v="91.6"/>
    <n v="94"/>
  </r>
  <r>
    <x v="32"/>
    <x v="0"/>
    <n v="2.2999999999999998"/>
    <n v="2.1"/>
    <n v="2.2000000000000002"/>
    <n v="3.1"/>
    <n v="3.1"/>
    <n v="3.1"/>
    <n v="24.1"/>
    <n v="27"/>
    <n v="25.5"/>
    <n v="8.4"/>
    <n v="9.5"/>
    <n v="8.9"/>
    <x v="52"/>
    <s v="NULL"/>
    <s v="NULL"/>
    <s v="NULL"/>
    <s v="NULL"/>
    <s v="NULL"/>
    <s v="NULL"/>
    <s v="NULL"/>
    <s v="NULL"/>
    <s v="NULL"/>
    <s v="NULL"/>
    <s v="NULL"/>
    <s v="NULL"/>
    <s v="NULL"/>
    <x v="0"/>
    <s v="NULL"/>
    <s v="NULL"/>
    <s v="NULL"/>
    <s v="NULL"/>
  </r>
  <r>
    <x v="32"/>
    <x v="1"/>
    <n v="3.6"/>
    <n v="3.5"/>
    <n v="3.6"/>
    <n v="3.2"/>
    <n v="2.2000000000000002"/>
    <n v="2.7"/>
    <n v="24.5"/>
    <n v="25.7"/>
    <n v="25.1"/>
    <n v="9.1999999999999993"/>
    <n v="9.1"/>
    <n v="9.1"/>
    <x v="12"/>
    <n v="112.7"/>
    <n v="114"/>
    <n v="113.3"/>
    <n v="113.2"/>
    <n v="114.9"/>
    <n v="114"/>
    <n v="117.1"/>
    <n v="116.9"/>
    <n v="117"/>
    <n v="44.8"/>
    <n v="36.9"/>
    <n v="41"/>
    <n v="91.2"/>
    <x v="93"/>
    <n v="89.1"/>
    <n v="11.4"/>
    <n v="24.9"/>
    <n v="84.5"/>
  </r>
  <r>
    <x v="32"/>
    <x v="2"/>
    <n v="1.4"/>
    <n v="1.2"/>
    <n v="1.3"/>
    <n v="2.4"/>
    <n v="1.6"/>
    <n v="2"/>
    <n v="28"/>
    <n v="28.8"/>
    <n v="28.4"/>
    <n v="9"/>
    <n v="8.9"/>
    <n v="8.9"/>
    <x v="53"/>
    <n v="109.5"/>
    <n v="110.5"/>
    <n v="110"/>
    <n v="118.8"/>
    <n v="122.4"/>
    <n v="120.5"/>
    <n v="119.8"/>
    <n v="121.4"/>
    <n v="120.6"/>
    <n v="46.5"/>
    <n v="40.1"/>
    <n v="43.4"/>
    <n v="99.4"/>
    <x v="94"/>
    <n v="99.9"/>
    <n v="15.1"/>
    <n v="28.6"/>
    <n v="89"/>
  </r>
  <r>
    <x v="32"/>
    <x v="3"/>
    <s v="NULL"/>
    <s v="NULL"/>
    <s v="NULL"/>
    <s v="NULL"/>
    <s v="NULL"/>
    <s v="NULL"/>
    <s v="NULL"/>
    <s v="NULL"/>
    <s v="NULL"/>
    <s v="NULL"/>
    <s v="NULL"/>
    <s v="NULL"/>
    <x v="3"/>
    <n v="107.6"/>
    <n v="108.4"/>
    <n v="108"/>
    <n v="125.8"/>
    <n v="130.30000000000001"/>
    <n v="128"/>
    <n v="116.2"/>
    <n v="120.9"/>
    <n v="118.5"/>
    <n v="45.2"/>
    <n v="41.5"/>
    <n v="43.5"/>
    <n v="99.7"/>
    <x v="95"/>
    <n v="99.9"/>
    <n v="15.7"/>
    <n v="29.8"/>
    <n v="89.8"/>
  </r>
  <r>
    <x v="33"/>
    <x v="2"/>
    <n v="9.1"/>
    <n v="8"/>
    <n v="8.6"/>
    <n v="0.8"/>
    <n v="4.5999999999999996"/>
    <n v="2.7"/>
    <n v="9.9"/>
    <n v="10.6"/>
    <n v="10.199999999999999"/>
    <n v="1.8"/>
    <n v="2.5"/>
    <n v="2.1"/>
    <x v="54"/>
    <n v="91.5"/>
    <n v="98.9"/>
    <n v="95"/>
    <n v="68.099999999999994"/>
    <n v="82.3"/>
    <n v="74.5"/>
    <n v="67.900000000000006"/>
    <n v="67.7"/>
    <n v="67.8"/>
    <n v="65.400000000000006"/>
    <n v="62"/>
    <n v="63.8"/>
    <n v="98.5"/>
    <x v="96"/>
    <n v="98.7"/>
    <n v="12.7"/>
    <n v="53.6"/>
    <n v="98.6"/>
  </r>
  <r>
    <x v="33"/>
    <x v="1"/>
    <s v="NULL"/>
    <s v="NULL"/>
    <s v="NULL"/>
    <s v="NULL"/>
    <s v="NULL"/>
    <s v="NULL"/>
    <s v="NULL"/>
    <s v="NULL"/>
    <s v="NULL"/>
    <s v="NULL"/>
    <s v="NULL"/>
    <s v="NULL"/>
    <x v="3"/>
    <n v="93.3"/>
    <n v="99.9"/>
    <n v="96.4"/>
    <n v="67.3"/>
    <n v="80.099999999999994"/>
    <n v="73.2"/>
    <n v="66.5"/>
    <n v="65.8"/>
    <n v="66.2"/>
    <n v="62.5"/>
    <n v="59.9"/>
    <n v="61.3"/>
    <n v="97.3"/>
    <x v="97"/>
    <n v="98.7"/>
    <n v="11.1"/>
    <n v="52.2"/>
    <n v="98.2"/>
  </r>
  <r>
    <x v="33"/>
    <x v="3"/>
    <s v="NULL"/>
    <s v="NULL"/>
    <s v="NULL"/>
    <s v="NULL"/>
    <s v="NULL"/>
    <s v="NULL"/>
    <s v="NULL"/>
    <s v="NULL"/>
    <s v="NULL"/>
    <s v="NULL"/>
    <s v="NULL"/>
    <s v="NULL"/>
    <x v="3"/>
    <n v="88.6"/>
    <n v="96.2"/>
    <n v="92.2"/>
    <n v="68.2"/>
    <n v="83.5"/>
    <n v="75.099999999999994"/>
    <n v="67.7"/>
    <n v="67.900000000000006"/>
    <n v="67.8"/>
    <n v="62.2"/>
    <n v="59.3"/>
    <n v="60.8"/>
    <n v="99.7"/>
    <x v="98"/>
    <n v="99.8"/>
    <n v="13.3"/>
    <n v="54.3"/>
    <n v="98.7"/>
  </r>
  <r>
    <x v="34"/>
    <x v="0"/>
    <n v="1.1000000000000001"/>
    <n v="1.2"/>
    <n v="1.2"/>
    <n v="3.9"/>
    <n v="1"/>
    <n v="0.1"/>
    <n v="9"/>
    <n v="10.5"/>
    <n v="9.6999999999999993"/>
    <n v="1.4"/>
    <n v="1.9"/>
    <n v="1.6"/>
    <x v="55"/>
    <s v="NULL"/>
    <s v="NULL"/>
    <s v="NULL"/>
    <s v="NULL"/>
    <s v="NULL"/>
    <s v="NULL"/>
    <s v="NULL"/>
    <s v="NULL"/>
    <s v="NULL"/>
    <s v="NULL"/>
    <s v="NULL"/>
    <s v="NULL"/>
    <s v="NULL"/>
    <x v="0"/>
    <s v="NULL"/>
    <s v="NULL"/>
    <s v="NULL"/>
    <s v="NULL"/>
  </r>
  <r>
    <x v="34"/>
    <x v="2"/>
    <n v="4.4000000000000004"/>
    <n v="3.7"/>
    <n v="4"/>
    <n v="0.8"/>
    <n v="1.6"/>
    <n v="1.2"/>
    <n v="11.3"/>
    <n v="9.5"/>
    <n v="10.4"/>
    <n v="3.4"/>
    <n v="2.6"/>
    <n v="3"/>
    <x v="56"/>
    <n v="100.1"/>
    <n v="101"/>
    <n v="100.5"/>
    <n v="84.2"/>
    <n v="87"/>
    <n v="85.5"/>
    <n v="91"/>
    <n v="89.7"/>
    <n v="90.4"/>
    <n v="79.8"/>
    <n v="81"/>
    <n v="80.400000000000006"/>
    <n v="96.5"/>
    <x v="99"/>
    <n v="96"/>
    <n v="33"/>
    <n v="77"/>
    <n v="95.1"/>
  </r>
  <r>
    <x v="34"/>
    <x v="1"/>
    <s v="NULL"/>
    <s v="NULL"/>
    <s v="NULL"/>
    <s v="NULL"/>
    <s v="NULL"/>
    <s v="NULL"/>
    <s v="NULL"/>
    <s v="NULL"/>
    <s v="NULL"/>
    <s v="NULL"/>
    <s v="NULL"/>
    <s v="NULL"/>
    <x v="3"/>
    <n v="100"/>
    <n v="101.3"/>
    <n v="100.6"/>
    <n v="85.2"/>
    <n v="87.5"/>
    <n v="86.5"/>
    <n v="89.3"/>
    <n v="87"/>
    <n v="88.2"/>
    <n v="76.3"/>
    <n v="76.3"/>
    <n v="76.3"/>
    <n v="94.7"/>
    <x v="100"/>
    <n v="96.1"/>
    <n v="32"/>
    <n v="74.2"/>
    <n v="95.7"/>
  </r>
  <r>
    <x v="34"/>
    <x v="3"/>
    <s v="NULL"/>
    <s v="NULL"/>
    <s v="NULL"/>
    <s v="NULL"/>
    <s v="NULL"/>
    <s v="NULL"/>
    <s v="NULL"/>
    <s v="NULL"/>
    <s v="NULL"/>
    <s v="NULL"/>
    <s v="NULL"/>
    <s v="NULL"/>
    <x v="3"/>
    <n v="98.9"/>
    <n v="99.8"/>
    <n v="99.3"/>
    <n v="85.8"/>
    <n v="88.1"/>
    <n v="86.9"/>
    <n v="85.7"/>
    <n v="85.7"/>
    <n v="85.7"/>
    <n v="73.400000000000006"/>
    <n v="78.5"/>
    <n v="75.8"/>
    <n v="97.4"/>
    <x v="101"/>
    <n v="97.2"/>
    <n v="33.5"/>
    <n v="78.599999999999994"/>
    <n v="96.4"/>
  </r>
  <r>
    <x v="35"/>
    <x v="0"/>
    <n v="6.9"/>
    <n v="5.7"/>
    <n v="6.3"/>
    <n v="6.3"/>
    <n v="4.2"/>
    <n v="5.2"/>
    <n v="15"/>
    <n v="19.399999999999999"/>
    <n v="17.3"/>
    <n v="7.8"/>
    <n v="8.5"/>
    <n v="8.1"/>
    <x v="57"/>
    <s v="NULL"/>
    <s v="NULL"/>
    <s v="NULL"/>
    <s v="NULL"/>
    <s v="NULL"/>
    <s v="NULL"/>
    <s v="NULL"/>
    <s v="NULL"/>
    <s v="NULL"/>
    <s v="NULL"/>
    <s v="NULL"/>
    <s v="NULL"/>
    <s v="NULL"/>
    <x v="0"/>
    <s v="NULL"/>
    <s v="NULL"/>
    <s v="NULL"/>
    <s v="NULL"/>
  </r>
  <r>
    <x v="35"/>
    <x v="1"/>
    <n v="3.4"/>
    <n v="2.4"/>
    <n v="2.9"/>
    <n v="5.6"/>
    <n v="3.1"/>
    <n v="4.3"/>
    <n v="16.7"/>
    <n v="19.8"/>
    <n v="18.3"/>
    <n v="8"/>
    <n v="7.8"/>
    <n v="7.9"/>
    <x v="58"/>
    <n v="103.2"/>
    <n v="104.9"/>
    <n v="104"/>
    <n v="92.8"/>
    <n v="106.9"/>
    <n v="99.6"/>
    <n v="68.599999999999994"/>
    <n v="81.3"/>
    <n v="74.8"/>
    <n v="47.4"/>
    <n v="49"/>
    <n v="48.1"/>
    <n v="81.400000000000006"/>
    <x v="102"/>
    <n v="82.1"/>
    <n v="10.8"/>
    <n v="42.8"/>
    <n v="97.8"/>
  </r>
  <r>
    <x v="35"/>
    <x v="2"/>
    <n v="2.1"/>
    <n v="0.8"/>
    <n v="1.5"/>
    <n v="5.8"/>
    <n v="2.9"/>
    <n v="4.3"/>
    <n v="16.3"/>
    <n v="19.100000000000001"/>
    <n v="17.8"/>
    <n v="8.1999999999999993"/>
    <n v="8"/>
    <n v="8.1"/>
    <x v="59"/>
    <n v="101.8"/>
    <n v="102.9"/>
    <n v="102.3"/>
    <n v="96.2"/>
    <n v="110.7"/>
    <n v="103.2"/>
    <n v="70.7"/>
    <n v="86.1"/>
    <n v="78.2"/>
    <n v="48.3"/>
    <n v="51.8"/>
    <n v="50"/>
    <n v="89.9"/>
    <x v="103"/>
    <n v="92.4"/>
    <n v="12.1"/>
    <n v="57"/>
    <n v="97.9"/>
  </r>
  <r>
    <x v="35"/>
    <x v="3"/>
    <s v="NULL"/>
    <s v="NULL"/>
    <s v="NULL"/>
    <s v="NULL"/>
    <s v="NULL"/>
    <s v="NULL"/>
    <s v="NULL"/>
    <s v="NULL"/>
    <s v="NULL"/>
    <s v="NULL"/>
    <s v="NULL"/>
    <s v="NULL"/>
    <x v="3"/>
    <n v="103.1"/>
    <n v="104.3"/>
    <n v="103.7"/>
    <n v="97.9"/>
    <n v="112.6"/>
    <n v="105"/>
    <n v="74.900000000000006"/>
    <n v="92.7"/>
    <n v="83.6"/>
    <n v="49"/>
    <n v="54.4"/>
    <n v="51.5"/>
    <n v="97.7"/>
    <x v="104"/>
    <n v="98.3"/>
    <n v="12.7"/>
    <n v="74.900000000000006"/>
    <n v="9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5728D2-9310-4BAA-84F6-81B6115F2970}" name="PivotTable8" cacheId="32" applyNumberFormats="0" applyBorderFormats="0" applyFontFormats="0" applyPatternFormats="0" applyAlignmentFormats="0" applyWidthHeightFormats="1" dataCaption="Average Dropout Rate" updatedVersion="8" minRefreshableVersion="3" useAutoFormatting="1" itemPrintTitles="1" createdVersion="8" indent="0" outline="1" outlineData="1" multipleFieldFilters="0" chartFormat="5">
  <location ref="D3:F8" firstHeaderRow="0" firstDataRow="1" firstDataCol="1"/>
  <pivotFields count="33">
    <pivotField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1">
        <item x="55"/>
        <item x="24"/>
        <item x="49"/>
        <item x="23"/>
        <item x="20"/>
        <item x="34"/>
        <item x="22"/>
        <item x="56"/>
        <item x="44"/>
        <item x="33"/>
        <item x="4"/>
        <item x="17"/>
        <item x="51"/>
        <item x="45"/>
        <item x="41"/>
        <item x="0"/>
        <item x="32"/>
        <item x="43"/>
        <item x="54"/>
        <item x="46"/>
        <item x="1"/>
        <item x="16"/>
        <item x="42"/>
        <item x="2"/>
        <item x="48"/>
        <item x="59"/>
        <item x="13"/>
        <item x="5"/>
        <item x="26"/>
        <item x="11"/>
        <item x="21"/>
        <item x="58"/>
        <item x="35"/>
        <item x="30"/>
        <item x="14"/>
        <item x="47"/>
        <item x="18"/>
        <item x="57"/>
        <item x="40"/>
        <item x="19"/>
        <item x="52"/>
        <item x="25"/>
        <item x="12"/>
        <item x="53"/>
        <item x="7"/>
        <item x="50"/>
        <item x="28"/>
        <item x="36"/>
        <item x="27"/>
        <item x="37"/>
        <item x="9"/>
        <item x="6"/>
        <item x="31"/>
        <item x="10"/>
        <item x="8"/>
        <item x="38"/>
        <item x="29"/>
        <item x="15"/>
        <item x="39"/>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06">
        <item x="26"/>
        <item x="13"/>
        <item x="42"/>
        <item x="44"/>
        <item x="43"/>
        <item x="49"/>
        <item x="6"/>
        <item x="98"/>
        <item x="97"/>
        <item x="73"/>
        <item x="96"/>
        <item x="15"/>
        <item x="25"/>
        <item x="5"/>
        <item x="22"/>
        <item x="35"/>
        <item x="84"/>
        <item x="34"/>
        <item x="82"/>
        <item x="74"/>
        <item x="33"/>
        <item x="10"/>
        <item x="58"/>
        <item x="48"/>
        <item x="75"/>
        <item x="24"/>
        <item x="23"/>
        <item x="11"/>
        <item x="4"/>
        <item x="83"/>
        <item x="46"/>
        <item x="59"/>
        <item x="12"/>
        <item x="72"/>
        <item x="50"/>
        <item x="102"/>
        <item x="38"/>
        <item x="45"/>
        <item x="14"/>
        <item x="47"/>
        <item x="103"/>
        <item x="3"/>
        <item x="57"/>
        <item x="91"/>
        <item x="92"/>
        <item x="60"/>
        <item x="37"/>
        <item x="36"/>
        <item x="66"/>
        <item x="104"/>
        <item x="78"/>
        <item x="21"/>
        <item x="61"/>
        <item x="101"/>
        <item x="17"/>
        <item x="100"/>
        <item x="62"/>
        <item x="77"/>
        <item x="99"/>
        <item x="80"/>
        <item x="79"/>
        <item x="20"/>
        <item x="81"/>
        <item x="55"/>
        <item x="2"/>
        <item x="18"/>
        <item x="19"/>
        <item x="56"/>
        <item x="76"/>
        <item x="53"/>
        <item x="90"/>
        <item x="52"/>
        <item x="88"/>
        <item x="16"/>
        <item x="93"/>
        <item x="68"/>
        <item x="89"/>
        <item x="1"/>
        <item x="51"/>
        <item x="54"/>
        <item x="32"/>
        <item x="31"/>
        <item x="94"/>
        <item x="7"/>
        <item x="95"/>
        <item x="30"/>
        <item x="63"/>
        <item x="65"/>
        <item x="41"/>
        <item x="9"/>
        <item x="67"/>
        <item x="8"/>
        <item x="70"/>
        <item x="40"/>
        <item x="64"/>
        <item x="39"/>
        <item x="69"/>
        <item x="71"/>
        <item x="28"/>
        <item x="85"/>
        <item x="29"/>
        <item x="27"/>
        <item x="86"/>
        <item x="87"/>
        <item x="0"/>
        <item t="default"/>
      </items>
    </pivotField>
    <pivotField showAll="0"/>
    <pivotField showAll="0"/>
    <pivotField showAll="0"/>
    <pivotField showAll="0"/>
  </pivotFields>
  <rowFields count="1">
    <field x="1"/>
  </rowFields>
  <rowItems count="5">
    <i>
      <x/>
    </i>
    <i>
      <x v="1"/>
    </i>
    <i>
      <x v="2"/>
    </i>
    <i>
      <x v="3"/>
    </i>
    <i t="grand">
      <x/>
    </i>
  </rowItems>
  <colFields count="1">
    <field x="-2"/>
  </colFields>
  <colItems count="2">
    <i>
      <x/>
    </i>
    <i i="1">
      <x v="1"/>
    </i>
  </colItems>
  <dataFields count="2">
    <dataField name="Overall GER" fld="28" subtotal="average" baseField="0" baseItem="0"/>
    <dataField name="Overall Dropout Rate" fld="14" subtotal="average" baseField="0" baseItem="0"/>
  </dataFields>
  <formats count="1">
    <format dxfId="426">
      <pivotArea outline="0" collapsedLevelsAreSubtotals="1" fieldPosition="0"/>
    </format>
  </formats>
  <chartFormats count="4">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pivotArea type="data" outline="0" fieldPosition="0">
        <references count="2">
          <reference field="4294967294" count="1" selected="0">
            <x v="1"/>
          </reference>
          <reference field="1" count="1" selected="0">
            <x v="1"/>
          </reference>
        </references>
      </pivotArea>
    </chartFormat>
    <chartFormat chart="4" format="7">
      <pivotArea type="data" outline="0" fieldPosition="0">
        <references count="2">
          <reference field="4294967294" count="1" selected="0">
            <x v="1"/>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DF92B6-52F3-4831-A4EB-61E03A9B0A8E}" name="PivotTable7" cacheId="32" dataOnRows="1" applyNumberFormats="0" applyBorderFormats="0" applyFontFormats="0" applyPatternFormats="0" applyAlignmentFormats="0" applyWidthHeightFormats="1" dataCaption="Average Dropout Rate" updatedVersion="8" minRefreshableVersion="3" useAutoFormatting="1" itemPrintTitles="1" createdVersion="8" indent="0" outline="1" outlineData="1" multipleFieldFilters="0">
  <location ref="A39:A40" firstHeaderRow="1" firstDataRow="1" firstDataCol="0"/>
  <pivotFields count="33">
    <pivotField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Items count="1">
    <i/>
  </rowItems>
  <colItems count="1">
    <i/>
  </colItems>
  <dataFields count="1">
    <dataField name="Schools w/ Water" fld="32" subtotal="average" baseField="0" baseItem="0"/>
  </dataFields>
  <formats count="1">
    <format dxfId="4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5557D1-574A-4F5C-B36B-C1A889EE2398}" name="PivotTable6" cacheId="32" dataOnRows="1" applyNumberFormats="0" applyBorderFormats="0" applyFontFormats="0" applyPatternFormats="0" applyAlignmentFormats="0" applyWidthHeightFormats="1" dataCaption="Average Dropout Rate" updatedVersion="8" minRefreshableVersion="3" useAutoFormatting="1" itemPrintTitles="1" createdVersion="8" indent="0" outline="1" outlineData="1" multipleFieldFilters="0">
  <location ref="A34:A35" firstHeaderRow="1" firstDataRow="1" firstDataCol="0"/>
  <pivotFields count="33">
    <pivotField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Items count="1">
    <i/>
  </rowItems>
  <colItems count="1">
    <i/>
  </colItems>
  <dataFields count="1">
    <dataField name="Schools w/ Electricity" fld="31" subtotal="average" baseField="0" baseItem="0"/>
  </dataFields>
  <formats count="1">
    <format dxfId="42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39F4A4-92BD-4490-8DCD-2BE9BFCAD9EA}" name="PivotTable5" cacheId="32" dataOnRows="1" applyNumberFormats="0" applyBorderFormats="0" applyFontFormats="0" applyPatternFormats="0" applyAlignmentFormats="0" applyWidthHeightFormats="1" dataCaption="Average Dropout Rate" updatedVersion="8" minRefreshableVersion="3" useAutoFormatting="1" itemPrintTitles="1" createdVersion="8" indent="0" outline="1" outlineData="1" multipleFieldFilters="0">
  <location ref="A29:A30" firstHeaderRow="1" firstDataRow="1" firstDataCol="0"/>
  <pivotFields count="33">
    <pivotField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Items count="1">
    <i/>
  </rowItems>
  <colItems count="1">
    <i/>
  </colItems>
  <dataFields count="1">
    <dataField name="Schools w/ Computers" fld="30" subtotal="average" baseField="0" baseItem="0"/>
  </dataFields>
  <formats count="1">
    <format dxfId="4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4F2236-75B7-483F-B675-7D7DA51C0B12}" name="PivotTable4" cacheId="32" dataOnRows="1" applyNumberFormats="0" applyBorderFormats="0" applyFontFormats="0" applyPatternFormats="0" applyAlignmentFormats="0" applyWidthHeightFormats="1" dataCaption="Average Dropout Rate" updatedVersion="8" minRefreshableVersion="3" useAutoFormatting="1" itemPrintTitles="1" createdVersion="8" indent="0" outline="1" outlineData="1" multipleFieldFilters="0">
  <location ref="A24:A25" firstHeaderRow="1" firstDataRow="1" firstDataCol="0"/>
  <pivotFields count="33">
    <pivotField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Items count="1">
    <i/>
  </rowItems>
  <colItems count="1">
    <i/>
  </colItems>
  <dataFields count="1">
    <dataField name="Schools w/ Girls Toilet" fld="29" subtotal="average" baseField="0" baseItem="0"/>
  </dataFields>
  <formats count="1">
    <format dxfId="4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57F9B70-B819-4F80-9D19-AD7AA0005DB7}" name="PivotTable3" cacheId="32" dataOnRows="1" applyNumberFormats="0" applyBorderFormats="0" applyFontFormats="0" applyPatternFormats="0" applyAlignmentFormats="0" applyWidthHeightFormats="1" dataCaption="Average Dropout Rate" updatedVersion="8" minRefreshableVersion="3" useAutoFormatting="1" itemPrintTitles="1" createdVersion="8" indent="0" outline="1" outlineData="1" multipleFieldFilters="0">
  <location ref="A19:A20" firstHeaderRow="1" firstDataRow="1" firstDataCol="0"/>
  <pivotFields count="33">
    <pivotField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Items count="1">
    <i/>
  </rowItems>
  <colItems count="1">
    <i/>
  </colItems>
  <dataFields count="1">
    <dataField name="Schools w/Boys Toilet" fld="27" subtotal="average" baseField="0" baseItem="0"/>
  </dataFields>
  <formats count="1">
    <format dxfId="4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1C6A40-4721-4459-94A2-122839A05403}" name="PivotTable2" cacheId="32" dataOnRows="1" applyNumberFormats="0" applyBorderFormats="0" applyFontFormats="0" applyPatternFormats="0" applyAlignmentFormats="0" applyWidthHeightFormats="1" dataCaption="Average GER" updatedVersion="8" minRefreshableVersion="3" useAutoFormatting="1" itemPrintTitles="1" createdVersion="8" indent="0" outline="1" outlineData="1" multipleFieldFilters="0">
  <location ref="A11:B15" firstHeaderRow="1" firstDataRow="1" firstDataCol="1"/>
  <pivotFields count="33">
    <pivotField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dataField="1" showAll="0"/>
    <pivotField showAll="0"/>
    <pivotField name="Average GER2" showAll="0"/>
    <pivotField showAll="0"/>
    <pivotField showAll="0"/>
    <pivotField showAll="0"/>
    <pivotField showAll="0"/>
  </pivotFields>
  <rowFields count="1">
    <field x="-2"/>
  </rowFields>
  <rowItems count="4">
    <i>
      <x/>
    </i>
    <i i="1">
      <x v="1"/>
    </i>
    <i i="2">
      <x v="2"/>
    </i>
    <i i="3">
      <x v="3"/>
    </i>
  </rowItems>
  <colItems count="1">
    <i/>
  </colItems>
  <dataFields count="4">
    <dataField name="Average of GER_Primary_Total" fld="17" subtotal="average" baseField="0" baseItem="0"/>
    <dataField name="Average of GER_Upper_Primary_Total" fld="20" subtotal="average" baseField="0" baseItem="0"/>
    <dataField name="Average of GER_Secondary_Total" fld="23" subtotal="average" baseField="0" baseItem="0"/>
    <dataField name="Average of GER_HrSecondary_Total" fld="26" subtotal="average" baseField="0" baseItem="0"/>
  </dataFields>
  <formats count="1">
    <format dxfId="43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0C312BE-6D9E-4343-AF8C-F87FE7189DA0}" name="PivotTable1" cacheId="32" dataOnRows="1" applyNumberFormats="0" applyBorderFormats="0" applyFontFormats="0" applyPatternFormats="0" applyAlignmentFormats="0" applyWidthHeightFormats="1" dataCaption="Average Dropout Rate" updatedVersion="8" minRefreshableVersion="3" useAutoFormatting="1" itemPrintTitles="1" createdVersion="8" indent="0" outline="1" outlineData="1" multipleFieldFilters="0">
  <location ref="A3:B7" firstHeaderRow="1" firstDataRow="1" firstDataCol="1"/>
  <pivotFields count="33">
    <pivotField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5">
        <item x="0"/>
        <item x="1"/>
        <item x="2"/>
        <item x="3"/>
        <item t="default"/>
      </items>
    </pivotField>
    <pivotField showAll="0"/>
    <pivotField showAll="0"/>
    <pivotField dataField="1"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
    <i>
      <x/>
    </i>
    <i i="1">
      <x v="1"/>
    </i>
    <i i="2">
      <x v="2"/>
    </i>
    <i i="3">
      <x v="3"/>
    </i>
  </rowItems>
  <colItems count="1">
    <i/>
  </colItems>
  <dataFields count="4">
    <dataField name="Average of Primary_Total" fld="4" subtotal="average" baseField="0" baseItem="0"/>
    <dataField name="Average of Upper_Primary_Total" fld="7" subtotal="average" baseField="0" baseItem="0"/>
    <dataField name="Average of Secondary_Total" fld="10" subtotal="average" baseField="0" baseItem="0"/>
    <dataField name="Average of HrSecondary_Total" fld="13" subtotal="average" baseField="0" baseItem="0"/>
  </dataFields>
  <formats count="1">
    <format dxfId="4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_UT" xr10:uid="{A350A151-4566-4C58-A890-698C3C11C3C9}" sourceName="State_UT">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s>
  <data>
    <tabular pivotCacheId="1929773707">
      <items count="36">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455AD6B-D9DD-43F4-8675-558CD4D4034A}" sourceName="Year">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s>
  <data>
    <tabular pivotCacheId="1929773707">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_UT" xr10:uid="{C6D989C7-0241-480F-AE1D-4ADAA7EEAE48}" cache="Slicer_State_UT" caption="State_UT" style="PortfolioSlicer1" rowHeight="241300"/>
  <slicer name="Year" xr10:uid="{C5F01300-06C2-4A94-96BF-5F13270E2CDD}" cache="Slicer_Year" caption="Year" style="PortfolioSlicer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39ACA2-61DD-443C-BA10-708111538CA2}" name="tblMain" displayName="tblMain" ref="A1:AG127" totalsRowShown="0">
  <autoFilter ref="A1:AG127" xr:uid="{C239ACA2-61DD-443C-BA10-708111538CA2}"/>
  <tableColumns count="33">
    <tableColumn id="1" xr3:uid="{E8DBE3A5-5DC7-480D-B01F-75AFA8E9A062}" name="State_UT"/>
    <tableColumn id="2" xr3:uid="{5BD89751-B94A-4601-B8C1-4B2C0D8A3228}" name="Year"/>
    <tableColumn id="3" xr3:uid="{CF0C33D1-F60F-4460-A93C-C3AD8828B3AF}" name="Primary_Boys"/>
    <tableColumn id="4" xr3:uid="{43C42C6D-85DE-4A81-81EA-19D14F312762}" name="Primary_Girls"/>
    <tableColumn id="5" xr3:uid="{0C0C2261-1FA2-4423-A0A4-D31D4337DDAD}" name="Primary_Total"/>
    <tableColumn id="6" xr3:uid="{E233624D-C690-473E-B8D1-ABEDE46142F4}" name="Upper_Primary_Boys"/>
    <tableColumn id="7" xr3:uid="{117BA427-D0AC-45A7-A2DA-81C922ABA2A6}" name="Upper_Primary_Girls"/>
    <tableColumn id="8" xr3:uid="{2997D6E5-37B6-46D2-A9A6-A9535922C751}" name="Upper_Primary_Total"/>
    <tableColumn id="9" xr3:uid="{5E97D5C8-1C58-4424-BE97-EBF8E7509CCB}" name="Secondary_Boys"/>
    <tableColumn id="10" xr3:uid="{B661A3F7-17F6-4A53-A051-893031D0116A}" name="Secondary_Girls"/>
    <tableColumn id="11" xr3:uid="{3E9E9E30-F203-49D3-A0A1-2F3DCF6552D9}" name="Secondary_Total"/>
    <tableColumn id="12" xr3:uid="{9191D515-7DC5-43F3-A286-85563A37076A}" name="HrSecondary_Boys"/>
    <tableColumn id="13" xr3:uid="{3B4F45B6-547F-4066-BD16-0BD38E6818CD}" name="HrSecondary_Girls"/>
    <tableColumn id="14" xr3:uid="{5841EB88-A336-4FE0-850E-084CEF66FFA2}" name="HrSecondary_Total"/>
    <tableColumn id="32" xr3:uid="{59895001-5824-4DCD-95FC-0457219844C2}" name="Average Dropout" dataDxfId="427">
      <calculatedColumnFormula>IFERROR(AVERAGE(tblMain[[#This Row],[Primary_Total]],tblMain[[#This Row],[Upper_Primary_Total]],tblMain[[#This Row],[Secondary_Total]],tblMain[[#This Row],[HrSecondary_Total]]), "NULL")</calculatedColumnFormula>
    </tableColumn>
    <tableColumn id="15" xr3:uid="{C3220E59-7034-4B87-BA52-4AABDAAD73C3}" name="GER_Primary_Boys"/>
    <tableColumn id="16" xr3:uid="{A4D5B3A7-4F7C-42A6-9138-4421601387BA}" name="GER_Primary_Girls"/>
    <tableColumn id="17" xr3:uid="{213FC9D4-F929-4155-A3E1-7F04AC6589EE}" name="GER_Primary_Total"/>
    <tableColumn id="18" xr3:uid="{72339652-CFDD-4F0A-BE3D-69FD756FCE58}" name="GER_Upper_Primary_Boys"/>
    <tableColumn id="19" xr3:uid="{380FF31C-7FA8-409A-ABE9-2388A1D1347E}" name="GER_Upper_Primary_Girls"/>
    <tableColumn id="20" xr3:uid="{7527FA51-D554-43F4-9EA8-13A1E83A6A60}" name="GER_Upper_Primary_Total"/>
    <tableColumn id="21" xr3:uid="{0E7646A9-DCE6-4088-BA79-1C7C2C31302F}" name="GER_Secondary_Boys"/>
    <tableColumn id="22" xr3:uid="{104B515B-1B29-4407-B02A-FC692001C3E1}" name="GER_Secondary_Girls"/>
    <tableColumn id="23" xr3:uid="{E4BD7D18-D3CE-4703-BCBB-599B45F9448F}" name="GER_Secondary_Total"/>
    <tableColumn id="24" xr3:uid="{6B0E0135-3BD0-4135-B1BB-1848BB624277}" name="GER_HrSecondary_Boys"/>
    <tableColumn id="25" xr3:uid="{3F7AAB72-AF08-4E7A-B186-16B379798BC7}" name="GER_HrSecondary_Girls"/>
    <tableColumn id="26" xr3:uid="{9CBC134C-0E43-457E-B886-25A9EBB53A8A}" name="GER_HrSecondary_Total"/>
    <tableColumn id="27" xr3:uid="{228266E0-2A17-4EDA-920B-30140FC1A7AC}" name="Schools_With_Boys_Toilet"/>
    <tableColumn id="33" xr3:uid="{18A0FF36-F45D-436C-8611-27FCE8823C34}" name="Average GER">
      <calculatedColumnFormula>IFERROR(AVERAGE(tblMain[[#This Row],[GER_Primary_Total]],tblMain[[#This Row],[GER_Upper_Primary_Total]],tblMain[[#This Row],[GER_Secondary_Total]],tblMain[[#This Row],[GER_HrSecondary_Girls]]),"NULL")</calculatedColumnFormula>
    </tableColumn>
    <tableColumn id="28" xr3:uid="{AABDED1C-E0D6-419A-8A28-B8B0CCCBEFA0}" name="Schools_With_Girls_Toilet"/>
    <tableColumn id="29" xr3:uid="{8F8A243B-8445-4746-9A0A-1BF3FF98F59C}" name="Schools_With_Computer"/>
    <tableColumn id="30" xr3:uid="{37CB77BB-B4FD-49E1-B0BA-B5B5119BD440}" name="Schools_With_Electricity"/>
    <tableColumn id="31" xr3:uid="{C9A01332-94A7-439B-B7C1-4EBCA2D703C6}" name="Schools_With_Wate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EE85-EC2D-4741-8768-B1C7D7990477}">
  <dimension ref="A1"/>
  <sheetViews>
    <sheetView showGridLines="0" tabSelected="1" zoomScale="61" workbookViewId="0">
      <selection activeCell="AH16" sqref="AH16"/>
    </sheetView>
  </sheetViews>
  <sheetFormatPr defaultRowHeight="14.5" x14ac:dyDescent="0.35"/>
  <cols>
    <col min="1" max="16384" width="8.726562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CDB25-CA83-45EB-BBE7-FB5CA0874BE5}">
  <dimension ref="A3:L73"/>
  <sheetViews>
    <sheetView workbookViewId="0">
      <selection activeCell="F7" sqref="F7"/>
    </sheetView>
  </sheetViews>
  <sheetFormatPr defaultRowHeight="14.5" x14ac:dyDescent="0.35"/>
  <cols>
    <col min="1" max="1" width="15.6328125" bestFit="1" customWidth="1"/>
    <col min="2" max="2" width="5.36328125" bestFit="1" customWidth="1"/>
    <col min="3" max="3" width="22.7265625" bestFit="1" customWidth="1"/>
    <col min="4" max="4" width="12.36328125" bestFit="1" customWidth="1"/>
    <col min="5" max="5" width="10.54296875" bestFit="1" customWidth="1"/>
    <col min="6" max="6" width="18.7265625" bestFit="1" customWidth="1"/>
    <col min="7" max="7" width="4.81640625" bestFit="1" customWidth="1"/>
    <col min="8" max="9" width="5.81640625" bestFit="1" customWidth="1"/>
    <col min="10" max="10" width="4.81640625" bestFit="1" customWidth="1"/>
    <col min="11" max="11" width="3.81640625" bestFit="1" customWidth="1"/>
    <col min="12" max="12" width="4.81640625" bestFit="1" customWidth="1"/>
    <col min="13" max="13" width="3.81640625" bestFit="1" customWidth="1"/>
    <col min="14" max="14" width="4.81640625" bestFit="1" customWidth="1"/>
    <col min="15" max="15" width="5.81640625" bestFit="1" customWidth="1"/>
    <col min="16" max="16" width="3.36328125" bestFit="1" customWidth="1"/>
    <col min="17" max="17" width="5.81640625" bestFit="1" customWidth="1"/>
    <col min="18" max="18" width="4.81640625" bestFit="1" customWidth="1"/>
    <col min="19" max="19" width="5.81640625" bestFit="1" customWidth="1"/>
    <col min="20" max="20" width="3.81640625" bestFit="1" customWidth="1"/>
    <col min="21" max="22" width="5.81640625" bestFit="1" customWidth="1"/>
    <col min="23" max="23" width="3.81640625" bestFit="1" customWidth="1"/>
    <col min="24" max="24" width="5.81640625" bestFit="1" customWidth="1"/>
    <col min="25" max="25" width="3.81640625" bestFit="1" customWidth="1"/>
    <col min="26" max="27" width="5.81640625" bestFit="1" customWidth="1"/>
    <col min="28" max="28" width="4.81640625" bestFit="1" customWidth="1"/>
    <col min="29" max="29" width="3.81640625" bestFit="1" customWidth="1"/>
    <col min="30" max="30" width="5.81640625" bestFit="1" customWidth="1"/>
    <col min="31" max="31" width="4.81640625" bestFit="1" customWidth="1"/>
    <col min="32" max="32" width="5.81640625" bestFit="1" customWidth="1"/>
    <col min="33" max="33" width="3.81640625" bestFit="1" customWidth="1"/>
    <col min="34" max="35" width="5.81640625" bestFit="1" customWidth="1"/>
    <col min="36" max="36" width="4.81640625" bestFit="1" customWidth="1"/>
    <col min="37" max="40" width="5.81640625" bestFit="1" customWidth="1"/>
    <col min="41" max="41" width="4.81640625" bestFit="1" customWidth="1"/>
    <col min="42" max="45" width="5.81640625" bestFit="1" customWidth="1"/>
    <col min="46" max="46" width="4.81640625" bestFit="1" customWidth="1"/>
    <col min="47" max="47" width="6.81640625" bestFit="1" customWidth="1"/>
    <col min="48" max="48" width="5.81640625" bestFit="1" customWidth="1"/>
    <col min="49" max="51" width="6.81640625" bestFit="1" customWidth="1"/>
    <col min="52" max="52" width="4.81640625" bestFit="1" customWidth="1"/>
    <col min="53" max="53" width="5.81640625" bestFit="1" customWidth="1"/>
    <col min="54" max="58" width="6.81640625" bestFit="1" customWidth="1"/>
    <col min="59" max="59" width="5.81640625" bestFit="1" customWidth="1"/>
    <col min="60" max="61" width="6.81640625" bestFit="1" customWidth="1"/>
    <col min="62" max="63" width="5.81640625" bestFit="1" customWidth="1"/>
    <col min="64" max="64" width="5" bestFit="1" customWidth="1"/>
    <col min="65" max="65" width="10.7265625" bestFit="1" customWidth="1"/>
    <col min="66" max="66" width="10.08984375" bestFit="1" customWidth="1"/>
    <col min="67" max="67" width="7.6328125" bestFit="1" customWidth="1"/>
    <col min="68" max="68" width="10.08984375" bestFit="1" customWidth="1"/>
    <col min="69" max="69" width="6.6328125" bestFit="1" customWidth="1"/>
    <col min="70" max="70" width="9.08984375" bestFit="1" customWidth="1"/>
    <col min="71" max="71" width="7.6328125" bestFit="1" customWidth="1"/>
    <col min="72" max="72" width="10.08984375" bestFit="1" customWidth="1"/>
    <col min="73" max="73" width="7.6328125" bestFit="1" customWidth="1"/>
    <col min="74" max="74" width="10.08984375" bestFit="1" customWidth="1"/>
    <col min="75" max="75" width="7.6328125" bestFit="1" customWidth="1"/>
    <col min="76" max="76" width="10.08984375" bestFit="1" customWidth="1"/>
    <col min="77" max="77" width="7.6328125" bestFit="1" customWidth="1"/>
    <col min="78" max="78" width="10.08984375" bestFit="1" customWidth="1"/>
    <col min="79" max="79" width="6.6328125" bestFit="1" customWidth="1"/>
    <col min="80" max="80" width="9.08984375" bestFit="1" customWidth="1"/>
    <col min="81" max="81" width="7.6328125" bestFit="1" customWidth="1"/>
    <col min="82" max="82" width="10.08984375" bestFit="1" customWidth="1"/>
    <col min="83" max="83" width="7.6328125" bestFit="1" customWidth="1"/>
    <col min="84" max="84" width="10.08984375" bestFit="1" customWidth="1"/>
    <col min="85" max="85" width="7.6328125" bestFit="1" customWidth="1"/>
    <col min="86" max="86" width="10.08984375" bestFit="1" customWidth="1"/>
    <col min="87" max="87" width="7.6328125" bestFit="1" customWidth="1"/>
    <col min="88" max="88" width="10.08984375" bestFit="1" customWidth="1"/>
    <col min="89" max="89" width="6.6328125" bestFit="1" customWidth="1"/>
    <col min="90" max="90" width="9.08984375" bestFit="1" customWidth="1"/>
    <col min="91" max="91" width="8.6328125" bestFit="1" customWidth="1"/>
    <col min="92" max="92" width="4.81640625" bestFit="1" customWidth="1"/>
    <col min="93" max="93" width="11.08984375" bestFit="1" customWidth="1"/>
    <col min="94" max="94" width="7.6328125" bestFit="1" customWidth="1"/>
    <col min="95" max="95" width="10.08984375" bestFit="1" customWidth="1"/>
    <col min="96" max="96" width="8.6328125" bestFit="1" customWidth="1"/>
    <col min="97" max="97" width="11.08984375" bestFit="1" customWidth="1"/>
    <col min="98" max="98" width="8.6328125" bestFit="1" customWidth="1"/>
    <col min="99" max="99" width="11.08984375" bestFit="1" customWidth="1"/>
    <col min="100" max="100" width="8.6328125" bestFit="1" customWidth="1"/>
    <col min="101" max="101" width="11.08984375" bestFit="1" customWidth="1"/>
    <col min="102" max="102" width="7.81640625" bestFit="1" customWidth="1"/>
    <col min="103" max="103" width="9.08984375" bestFit="1" customWidth="1"/>
    <col min="104" max="104" width="7.6328125" bestFit="1" customWidth="1"/>
    <col min="105" max="105" width="10.08984375" bestFit="1" customWidth="1"/>
    <col min="106" max="106" width="8.6328125" bestFit="1" customWidth="1"/>
    <col min="107" max="107" width="11.08984375" bestFit="1" customWidth="1"/>
    <col min="108" max="108" width="8.6328125" bestFit="1" customWidth="1"/>
    <col min="109" max="109" width="11.08984375" bestFit="1" customWidth="1"/>
    <col min="110" max="110" width="8.6328125" bestFit="1" customWidth="1"/>
    <col min="111" max="111" width="11.08984375" bestFit="1" customWidth="1"/>
    <col min="112" max="112" width="8.6328125" bestFit="1" customWidth="1"/>
    <col min="113" max="113" width="11.08984375" bestFit="1" customWidth="1"/>
    <col min="114" max="114" width="8.6328125" bestFit="1" customWidth="1"/>
    <col min="115" max="115" width="11.08984375" bestFit="1" customWidth="1"/>
    <col min="116" max="116" width="7.6328125" bestFit="1" customWidth="1"/>
    <col min="117" max="117" width="10.08984375" bestFit="1" customWidth="1"/>
    <col min="118" max="118" width="8.6328125" bestFit="1" customWidth="1"/>
    <col min="119" max="119" width="11.08984375" bestFit="1" customWidth="1"/>
    <col min="120" max="120" width="8.6328125" bestFit="1" customWidth="1"/>
    <col min="121" max="121" width="11.08984375" bestFit="1" customWidth="1"/>
    <col min="122" max="122" width="7.6328125" bestFit="1" customWidth="1"/>
    <col min="123" max="123" width="10.08984375" bestFit="1" customWidth="1"/>
    <col min="124" max="124" width="7.6328125" bestFit="1" customWidth="1"/>
    <col min="125" max="125" width="10.08984375" bestFit="1" customWidth="1"/>
    <col min="126" max="127" width="6.81640625" bestFit="1" customWidth="1"/>
    <col min="128" max="128" width="5.81640625" bestFit="1" customWidth="1"/>
    <col min="129" max="130" width="6.81640625" bestFit="1" customWidth="1"/>
    <col min="131" max="131" width="4.81640625" bestFit="1" customWidth="1"/>
    <col min="132" max="132" width="6.81640625" bestFit="1" customWidth="1"/>
    <col min="133" max="133" width="2.81640625" bestFit="1" customWidth="1"/>
    <col min="134" max="135" width="4.81640625" bestFit="1" customWidth="1"/>
    <col min="136" max="136" width="5.81640625" bestFit="1" customWidth="1"/>
    <col min="137" max="137" width="6.81640625" bestFit="1" customWidth="1"/>
    <col min="138" max="139" width="5.81640625" bestFit="1" customWidth="1"/>
    <col min="140" max="142" width="6.81640625" bestFit="1" customWidth="1"/>
    <col min="143" max="143" width="5.81640625" bestFit="1" customWidth="1"/>
    <col min="144" max="145" width="4.81640625" bestFit="1" customWidth="1"/>
    <col min="146" max="149" width="6.81640625" bestFit="1" customWidth="1"/>
    <col min="150" max="150" width="5.81640625" bestFit="1" customWidth="1"/>
    <col min="151" max="151" width="6.81640625" bestFit="1" customWidth="1"/>
    <col min="152" max="152" width="5.81640625" bestFit="1" customWidth="1"/>
    <col min="153" max="153" width="4.81640625" bestFit="1" customWidth="1"/>
    <col min="154" max="154" width="6.81640625" bestFit="1" customWidth="1"/>
    <col min="155" max="155" width="5.81640625" bestFit="1" customWidth="1"/>
    <col min="156" max="156" width="6.81640625" bestFit="1" customWidth="1"/>
    <col min="157" max="157" width="4.81640625" bestFit="1" customWidth="1"/>
    <col min="158" max="158" width="6.81640625" bestFit="1" customWidth="1"/>
    <col min="159" max="160" width="4.81640625" bestFit="1" customWidth="1"/>
    <col min="161" max="162" width="6.81640625" bestFit="1" customWidth="1"/>
    <col min="163" max="164" width="4.81640625" bestFit="1" customWidth="1"/>
    <col min="165" max="167" width="6.81640625" bestFit="1" customWidth="1"/>
    <col min="168" max="168" width="4.81640625" bestFit="1" customWidth="1"/>
    <col min="169" max="169" width="5.81640625" bestFit="1" customWidth="1"/>
    <col min="170" max="170" width="6.81640625" bestFit="1" customWidth="1"/>
    <col min="171" max="171" width="4.81640625" bestFit="1" customWidth="1"/>
    <col min="172" max="172" width="6.81640625" bestFit="1" customWidth="1"/>
    <col min="173" max="173" width="5.81640625" bestFit="1" customWidth="1"/>
    <col min="174" max="174" width="6.81640625" bestFit="1" customWidth="1"/>
    <col min="175" max="175" width="4.81640625" bestFit="1" customWidth="1"/>
    <col min="176" max="176" width="2.81640625" bestFit="1" customWidth="1"/>
    <col min="177" max="180" width="7.81640625" bestFit="1" customWidth="1"/>
    <col min="181" max="181" width="5.81640625" bestFit="1" customWidth="1"/>
    <col min="182" max="183" width="7.81640625" bestFit="1" customWidth="1"/>
    <col min="184" max="185" width="5.81640625" bestFit="1" customWidth="1"/>
    <col min="186" max="186" width="7.81640625" bestFit="1" customWidth="1"/>
    <col min="187" max="187" width="5.81640625" bestFit="1" customWidth="1"/>
    <col min="188" max="188" width="5" bestFit="1" customWidth="1"/>
    <col min="189" max="189" width="9.7265625" bestFit="1" customWidth="1"/>
    <col min="190" max="190" width="10.7265625" bestFit="1" customWidth="1"/>
  </cols>
  <sheetData>
    <row r="3" spans="1:6" x14ac:dyDescent="0.35">
      <c r="A3" s="1" t="s">
        <v>75</v>
      </c>
      <c r="D3" s="1" t="s">
        <v>72</v>
      </c>
      <c r="E3" t="s">
        <v>92</v>
      </c>
      <c r="F3" t="s">
        <v>91</v>
      </c>
    </row>
    <row r="4" spans="1:6" x14ac:dyDescent="0.35">
      <c r="A4" s="2" t="s">
        <v>77</v>
      </c>
      <c r="B4" s="3">
        <v>4.0935483870967735</v>
      </c>
      <c r="D4" s="2" t="s">
        <v>32</v>
      </c>
      <c r="E4" s="3" t="e">
        <v>#DIV/0!</v>
      </c>
      <c r="F4" s="3">
        <v>7.791666666666667</v>
      </c>
    </row>
    <row r="5" spans="1:6" x14ac:dyDescent="0.35">
      <c r="A5" s="2" t="s">
        <v>78</v>
      </c>
      <c r="B5" s="3">
        <v>4.1096774193548375</v>
      </c>
      <c r="D5" s="2" t="s">
        <v>34</v>
      </c>
      <c r="E5" s="3">
        <v>87.933823529411782</v>
      </c>
      <c r="F5" s="3">
        <v>8.947619047619046</v>
      </c>
    </row>
    <row r="6" spans="1:6" x14ac:dyDescent="0.35">
      <c r="A6" s="2" t="s">
        <v>79</v>
      </c>
      <c r="B6" s="3">
        <v>16.979032258064517</v>
      </c>
      <c r="D6" s="2" t="s">
        <v>35</v>
      </c>
      <c r="E6" s="3">
        <v>88.080714285714265</v>
      </c>
      <c r="F6" s="3">
        <v>8.2706521739130476</v>
      </c>
    </row>
    <row r="7" spans="1:6" x14ac:dyDescent="0.35">
      <c r="A7" s="2" t="s">
        <v>80</v>
      </c>
      <c r="B7" s="3">
        <v>8.2612903225806438</v>
      </c>
      <c r="D7" s="2" t="s">
        <v>36</v>
      </c>
      <c r="E7" s="3">
        <v>87.763888888888886</v>
      </c>
      <c r="F7" s="3" t="e">
        <v>#DIV/0!</v>
      </c>
    </row>
    <row r="8" spans="1:6" x14ac:dyDescent="0.35">
      <c r="B8" s="3">
        <f>IFERROR(AVERAGE(B4:B7), "N/A")</f>
        <v>8.3608870967741922</v>
      </c>
      <c r="D8" s="2" t="s">
        <v>73</v>
      </c>
      <c r="E8" s="3">
        <v>87.924523809523819</v>
      </c>
      <c r="F8" s="3">
        <v>8.3608870967741922</v>
      </c>
    </row>
    <row r="10" spans="1:6" x14ac:dyDescent="0.35">
      <c r="A10" s="2"/>
      <c r="B10" s="3"/>
    </row>
    <row r="11" spans="1:6" x14ac:dyDescent="0.35">
      <c r="A11" s="1" t="s">
        <v>76</v>
      </c>
      <c r="F11" s="3"/>
    </row>
    <row r="12" spans="1:6" x14ac:dyDescent="0.35">
      <c r="A12" s="2" t="s">
        <v>81</v>
      </c>
      <c r="B12" s="3">
        <v>102.51523809523806</v>
      </c>
      <c r="F12" s="3"/>
    </row>
    <row r="13" spans="1:6" x14ac:dyDescent="0.35">
      <c r="A13" s="2" t="s">
        <v>82</v>
      </c>
      <c r="B13" s="3">
        <v>99.532380952380933</v>
      </c>
      <c r="F13" s="3"/>
    </row>
    <row r="14" spans="1:6" x14ac:dyDescent="0.35">
      <c r="A14" s="2" t="s">
        <v>83</v>
      </c>
      <c r="B14" s="3">
        <v>88.151428571428596</v>
      </c>
      <c r="F14" s="3"/>
    </row>
    <row r="15" spans="1:6" x14ac:dyDescent="0.35">
      <c r="A15" s="2" t="s">
        <v>84</v>
      </c>
      <c r="B15" s="3">
        <v>60.332380952380959</v>
      </c>
      <c r="F15" s="3"/>
    </row>
    <row r="16" spans="1:6" x14ac:dyDescent="0.35">
      <c r="B16" s="3">
        <f>IFERROR(AVERAGE(B12:B15), "N/A")</f>
        <v>87.632857142857134</v>
      </c>
      <c r="F16" s="3"/>
    </row>
    <row r="17" spans="1:6" x14ac:dyDescent="0.35">
      <c r="F17" s="3"/>
    </row>
    <row r="18" spans="1:6" x14ac:dyDescent="0.35">
      <c r="F18" s="3"/>
    </row>
    <row r="19" spans="1:6" x14ac:dyDescent="0.35">
      <c r="A19" t="s">
        <v>85</v>
      </c>
      <c r="F19" s="3"/>
    </row>
    <row r="20" spans="1:6" x14ac:dyDescent="0.35">
      <c r="A20" s="3">
        <v>91.929906542056045</v>
      </c>
      <c r="F20" s="3"/>
    </row>
    <row r="21" spans="1:6" x14ac:dyDescent="0.35">
      <c r="A21" s="3">
        <f>IFERROR(GETPIVOTDATA("Schools_With_Boys_Toilet",$A$19),"N/A")</f>
        <v>91.929906542056045</v>
      </c>
      <c r="F21" s="3"/>
    </row>
    <row r="22" spans="1:6" x14ac:dyDescent="0.35">
      <c r="F22" s="3"/>
    </row>
    <row r="23" spans="1:6" x14ac:dyDescent="0.35">
      <c r="F23" s="3"/>
    </row>
    <row r="24" spans="1:6" x14ac:dyDescent="0.35">
      <c r="A24" t="s">
        <v>86</v>
      </c>
      <c r="F24" s="3"/>
    </row>
    <row r="25" spans="1:6" x14ac:dyDescent="0.35">
      <c r="A25" s="3">
        <v>94.972897196261684</v>
      </c>
      <c r="F25" s="3"/>
    </row>
    <row r="26" spans="1:6" x14ac:dyDescent="0.35">
      <c r="A26" s="3">
        <f>IFERROR(GETPIVOTDATA("Schools_With_Girls_Toilet",$A$24),"N/A")</f>
        <v>94.972897196261684</v>
      </c>
      <c r="F26" s="3"/>
    </row>
    <row r="27" spans="1:6" x14ac:dyDescent="0.35">
      <c r="F27" s="3"/>
    </row>
    <row r="28" spans="1:6" x14ac:dyDescent="0.35">
      <c r="F28" s="3"/>
    </row>
    <row r="29" spans="1:6" x14ac:dyDescent="0.35">
      <c r="A29" t="s">
        <v>87</v>
      </c>
      <c r="F29" s="3"/>
    </row>
    <row r="30" spans="1:6" x14ac:dyDescent="0.35">
      <c r="A30" s="3">
        <v>40.405607476635517</v>
      </c>
      <c r="F30" s="3"/>
    </row>
    <row r="31" spans="1:6" x14ac:dyDescent="0.35">
      <c r="A31" s="3">
        <f>IFERROR(GETPIVOTDATA("Schools_With_Computer",$A$29),"N/A")</f>
        <v>40.405607476635517</v>
      </c>
      <c r="F31" s="3"/>
    </row>
    <row r="32" spans="1:6" x14ac:dyDescent="0.35">
      <c r="F32" s="3"/>
    </row>
    <row r="33" spans="1:12" x14ac:dyDescent="0.35">
      <c r="F33" s="3"/>
    </row>
    <row r="34" spans="1:12" x14ac:dyDescent="0.35">
      <c r="A34" t="s">
        <v>88</v>
      </c>
      <c r="F34" s="3"/>
    </row>
    <row r="35" spans="1:12" x14ac:dyDescent="0.35">
      <c r="A35" s="3">
        <v>70.05046728971962</v>
      </c>
      <c r="F35" s="3"/>
    </row>
    <row r="36" spans="1:12" x14ac:dyDescent="0.35">
      <c r="A36" s="3">
        <f>IFERROR(GETPIVOTDATA("Schools_With_Electricity",$A$34),"N/A")</f>
        <v>70.05046728971962</v>
      </c>
      <c r="F36" s="3"/>
    </row>
    <row r="37" spans="1:12" x14ac:dyDescent="0.35">
      <c r="D37" t="s">
        <v>74</v>
      </c>
      <c r="E37" t="s">
        <v>75</v>
      </c>
      <c r="G37" t="s">
        <v>74</v>
      </c>
      <c r="H37" t="s">
        <v>76</v>
      </c>
    </row>
    <row r="38" spans="1:12" x14ac:dyDescent="0.35">
      <c r="D38" s="2" t="s">
        <v>31</v>
      </c>
      <c r="E38" s="3">
        <v>6.2833333333333332</v>
      </c>
      <c r="G38" s="2" t="s">
        <v>31</v>
      </c>
      <c r="H38" s="3">
        <v>90.716666666666669</v>
      </c>
    </row>
    <row r="39" spans="1:12" x14ac:dyDescent="0.35">
      <c r="A39" t="s">
        <v>89</v>
      </c>
      <c r="D39" s="2" t="s">
        <v>37</v>
      </c>
      <c r="E39" s="3">
        <v>6.5500000000000007</v>
      </c>
      <c r="G39" s="2" t="s">
        <v>37</v>
      </c>
      <c r="H39" s="3">
        <v>75.75</v>
      </c>
    </row>
    <row r="40" spans="1:12" x14ac:dyDescent="0.35">
      <c r="A40" s="3">
        <v>94.894392523364516</v>
      </c>
      <c r="D40" s="2" t="s">
        <v>38</v>
      </c>
      <c r="E40" s="3">
        <v>11.816666666666666</v>
      </c>
      <c r="G40" s="2" t="s">
        <v>38</v>
      </c>
      <c r="H40" s="3">
        <v>101.13333333333334</v>
      </c>
      <c r="I40" s="3"/>
      <c r="K40" s="4"/>
      <c r="L40" s="3"/>
    </row>
    <row r="41" spans="1:12" x14ac:dyDescent="0.35">
      <c r="A41" s="3">
        <f>IFERROR(GETPIVOTDATA("Schools_With_Water",$A$39),"N/A")</f>
        <v>94.894392523364516</v>
      </c>
      <c r="D41" s="2" t="s">
        <v>39</v>
      </c>
      <c r="E41" s="3">
        <v>12.125000000000002</v>
      </c>
      <c r="G41" s="2" t="s">
        <v>39</v>
      </c>
      <c r="H41" s="3">
        <v>78.825000000000017</v>
      </c>
    </row>
    <row r="42" spans="1:12" x14ac:dyDescent="0.35">
      <c r="D42" s="2" t="s">
        <v>42</v>
      </c>
      <c r="E42" s="3">
        <v>8.2249999999999996</v>
      </c>
      <c r="G42" s="2" t="s">
        <v>40</v>
      </c>
      <c r="H42" s="3">
        <v>74.891666666666666</v>
      </c>
    </row>
    <row r="43" spans="1:12" x14ac:dyDescent="0.35">
      <c r="D43" s="2" t="s">
        <v>43</v>
      </c>
      <c r="E43" s="3">
        <v>9.0375000000000014</v>
      </c>
      <c r="G43" s="2" t="s">
        <v>41</v>
      </c>
      <c r="H43" s="3">
        <v>90.825000000000003</v>
      </c>
    </row>
    <row r="44" spans="1:12" x14ac:dyDescent="0.35">
      <c r="D44" s="2" t="s">
        <v>44</v>
      </c>
      <c r="E44" s="3">
        <v>13.912499999999998</v>
      </c>
      <c r="G44" s="2" t="s">
        <v>42</v>
      </c>
      <c r="H44" s="3">
        <v>89.791666666666671</v>
      </c>
    </row>
    <row r="45" spans="1:12" x14ac:dyDescent="0.35">
      <c r="D45" s="2" t="s">
        <v>46</v>
      </c>
      <c r="E45" s="3">
        <v>6.4749999999999996</v>
      </c>
      <c r="G45" s="2" t="s">
        <v>43</v>
      </c>
      <c r="H45" s="3">
        <v>76.400000000000006</v>
      </c>
    </row>
    <row r="46" spans="1:12" x14ac:dyDescent="0.35">
      <c r="D46" s="2" t="s">
        <v>47</v>
      </c>
      <c r="E46" s="3">
        <v>7.9250000000000007</v>
      </c>
      <c r="G46" s="2" t="s">
        <v>44</v>
      </c>
      <c r="H46" s="3">
        <v>69.275000000000006</v>
      </c>
    </row>
    <row r="47" spans="1:12" x14ac:dyDescent="0.35">
      <c r="D47" s="2" t="s">
        <v>48</v>
      </c>
      <c r="E47" s="3">
        <v>6.35</v>
      </c>
      <c r="G47" s="2" t="s">
        <v>45</v>
      </c>
      <c r="H47" s="3">
        <v>107.67499999999998</v>
      </c>
    </row>
    <row r="48" spans="1:12" x14ac:dyDescent="0.35">
      <c r="D48" s="2" t="s">
        <v>49</v>
      </c>
      <c r="E48" s="3">
        <v>4.2416666666666663</v>
      </c>
      <c r="G48" s="2" t="s">
        <v>46</v>
      </c>
      <c r="H48" s="3">
        <v>97.066666666666663</v>
      </c>
    </row>
    <row r="49" spans="4:8" x14ac:dyDescent="0.35">
      <c r="D49" s="2" t="s">
        <v>50</v>
      </c>
      <c r="E49" s="3">
        <v>9.5666666666666664</v>
      </c>
      <c r="G49" s="2" t="s">
        <v>47</v>
      </c>
      <c r="H49" s="3">
        <v>78.075000000000003</v>
      </c>
    </row>
    <row r="50" spans="4:8" x14ac:dyDescent="0.35">
      <c r="D50" s="2" t="s">
        <v>51</v>
      </c>
      <c r="E50" s="3">
        <v>10.475</v>
      </c>
      <c r="G50" s="2" t="s">
        <v>48</v>
      </c>
      <c r="H50" s="3">
        <v>84.974999999999994</v>
      </c>
    </row>
    <row r="51" spans="4:8" x14ac:dyDescent="0.35">
      <c r="D51" s="2" t="s">
        <v>52</v>
      </c>
      <c r="E51" s="3">
        <v>12.174999999999999</v>
      </c>
      <c r="G51" s="2" t="s">
        <v>49</v>
      </c>
      <c r="H51" s="3">
        <v>103.62499999999999</v>
      </c>
    </row>
    <row r="52" spans="4:8" x14ac:dyDescent="0.35">
      <c r="D52" s="2" t="s">
        <v>55</v>
      </c>
      <c r="E52" s="3">
        <v>12.475</v>
      </c>
      <c r="G52" s="2" t="s">
        <v>50</v>
      </c>
      <c r="H52" s="3">
        <v>69.891666666666666</v>
      </c>
    </row>
    <row r="53" spans="4:8" x14ac:dyDescent="0.35">
      <c r="D53" s="2" t="s">
        <v>56</v>
      </c>
      <c r="E53" s="3">
        <v>4.9083333333333332</v>
      </c>
      <c r="G53" s="2" t="s">
        <v>51</v>
      </c>
      <c r="H53" s="3">
        <v>81.875</v>
      </c>
    </row>
    <row r="54" spans="4:8" x14ac:dyDescent="0.35">
      <c r="D54" s="2" t="s">
        <v>57</v>
      </c>
      <c r="E54" s="3">
        <v>9.4624999999999986</v>
      </c>
      <c r="G54" s="2" t="s">
        <v>52</v>
      </c>
      <c r="H54" s="3">
        <v>76.508333333333326</v>
      </c>
    </row>
    <row r="55" spans="4:8" x14ac:dyDescent="0.35">
      <c r="D55" s="2" t="s">
        <v>59</v>
      </c>
      <c r="E55" s="3">
        <v>10.924999999999999</v>
      </c>
      <c r="G55" s="2" t="s">
        <v>53</v>
      </c>
      <c r="H55" s="3">
        <v>93.891666666666666</v>
      </c>
    </row>
    <row r="56" spans="4:8" x14ac:dyDescent="0.35">
      <c r="D56" s="2" t="s">
        <v>60</v>
      </c>
      <c r="E56" s="3">
        <v>15.583333333333334</v>
      </c>
      <c r="G56" s="2" t="s">
        <v>54</v>
      </c>
      <c r="H56" s="3">
        <v>94.541666666666657</v>
      </c>
    </row>
    <row r="57" spans="4:8" x14ac:dyDescent="0.35">
      <c r="D57" s="2" t="s">
        <v>62</v>
      </c>
      <c r="E57" s="3">
        <v>5.4916666666666663</v>
      </c>
      <c r="G57" s="2" t="s">
        <v>55</v>
      </c>
      <c r="H57" s="3">
        <v>81.508333333333326</v>
      </c>
    </row>
    <row r="58" spans="4:8" x14ac:dyDescent="0.35">
      <c r="D58" s="2" t="s">
        <v>63</v>
      </c>
      <c r="E58" s="3">
        <v>5.2249999999999996</v>
      </c>
      <c r="G58" s="2" t="s">
        <v>56</v>
      </c>
      <c r="H58" s="3">
        <v>87.075000000000003</v>
      </c>
    </row>
    <row r="59" spans="4:8" x14ac:dyDescent="0.35">
      <c r="D59" s="2" t="s">
        <v>65</v>
      </c>
      <c r="E59" s="3">
        <v>7.6</v>
      </c>
      <c r="G59" s="2" t="s">
        <v>57</v>
      </c>
      <c r="H59" s="3">
        <v>103.34166666666665</v>
      </c>
    </row>
    <row r="60" spans="4:8" x14ac:dyDescent="0.35">
      <c r="D60" s="2" t="s">
        <v>66</v>
      </c>
      <c r="E60" s="3">
        <v>4.875</v>
      </c>
      <c r="G60" s="2" t="s">
        <v>58</v>
      </c>
      <c r="H60" s="3">
        <v>93.924999999999997</v>
      </c>
    </row>
    <row r="61" spans="4:8" x14ac:dyDescent="0.35">
      <c r="D61" s="2" t="s">
        <v>67</v>
      </c>
      <c r="E61" s="3">
        <v>7.75</v>
      </c>
      <c r="G61" s="2" t="s">
        <v>59</v>
      </c>
      <c r="H61" s="3">
        <v>104.45833333333334</v>
      </c>
    </row>
    <row r="62" spans="4:8" x14ac:dyDescent="0.35">
      <c r="D62" s="2" t="s">
        <v>68</v>
      </c>
      <c r="E62" s="3">
        <v>10.066666666666666</v>
      </c>
      <c r="G62" s="2" t="s">
        <v>60</v>
      </c>
      <c r="H62" s="3">
        <v>77.408333333333317</v>
      </c>
    </row>
    <row r="63" spans="4:8" x14ac:dyDescent="0.35">
      <c r="D63" s="2" t="s">
        <v>69</v>
      </c>
      <c r="E63" s="3">
        <v>5.9</v>
      </c>
      <c r="G63" s="2" t="s">
        <v>61</v>
      </c>
      <c r="H63" s="3">
        <v>78.525000000000006</v>
      </c>
    </row>
    <row r="64" spans="4:8" x14ac:dyDescent="0.35">
      <c r="D64" s="2" t="s">
        <v>70</v>
      </c>
      <c r="E64" s="3">
        <v>3.9000000000000004</v>
      </c>
      <c r="G64" s="2" t="s">
        <v>62</v>
      </c>
      <c r="H64" s="3">
        <v>86.875</v>
      </c>
    </row>
    <row r="65" spans="4:8" x14ac:dyDescent="0.35">
      <c r="D65" s="2" t="s">
        <v>71</v>
      </c>
      <c r="E65" s="3">
        <v>8.5</v>
      </c>
      <c r="G65" s="2" t="s">
        <v>63</v>
      </c>
      <c r="H65" s="3">
        <v>89.449999999999989</v>
      </c>
    </row>
    <row r="66" spans="4:8" x14ac:dyDescent="0.35">
      <c r="G66" s="2" t="s">
        <v>64</v>
      </c>
      <c r="H66" s="3">
        <v>80.166666666666657</v>
      </c>
    </row>
    <row r="67" spans="4:8" x14ac:dyDescent="0.35">
      <c r="G67" s="2" t="s">
        <v>65</v>
      </c>
      <c r="H67" s="3">
        <v>108.24166666666666</v>
      </c>
    </row>
    <row r="68" spans="4:8" x14ac:dyDescent="0.35">
      <c r="G68" s="2" t="s">
        <v>66</v>
      </c>
      <c r="H68" s="3">
        <v>92.516666666666652</v>
      </c>
    </row>
    <row r="69" spans="4:8" x14ac:dyDescent="0.35">
      <c r="G69" s="2" t="s">
        <v>67</v>
      </c>
      <c r="H69" s="3">
        <v>83.912500000000009</v>
      </c>
    </row>
    <row r="70" spans="4:8" x14ac:dyDescent="0.35">
      <c r="G70" s="2" t="s">
        <v>68</v>
      </c>
      <c r="H70" s="3">
        <v>98.149999999999991</v>
      </c>
    </row>
    <row r="71" spans="4:8" x14ac:dyDescent="0.35">
      <c r="G71" s="2" t="s">
        <v>69</v>
      </c>
      <c r="H71" s="3">
        <v>74.508333333333326</v>
      </c>
    </row>
    <row r="72" spans="4:8" x14ac:dyDescent="0.35">
      <c r="G72" s="2" t="s">
        <v>70</v>
      </c>
      <c r="H72" s="3">
        <v>88.00833333333334</v>
      </c>
    </row>
    <row r="73" spans="4:8" x14ac:dyDescent="0.35">
      <c r="G73" s="2" t="s">
        <v>71</v>
      </c>
      <c r="H73" s="3">
        <v>83.666666666666671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EBA14-AE29-4130-A1A9-836E6AECBCB8}">
  <dimension ref="A1:AG127"/>
  <sheetViews>
    <sheetView workbookViewId="0">
      <selection activeCell="AD7" sqref="AD7"/>
    </sheetView>
  </sheetViews>
  <sheetFormatPr defaultRowHeight="14.5" x14ac:dyDescent="0.35"/>
  <cols>
    <col min="1" max="1" width="10.453125" customWidth="1"/>
    <col min="3" max="3" width="14.26953125" customWidth="1"/>
    <col min="4" max="4" width="14.08984375" customWidth="1"/>
    <col min="5" max="5" width="14.6328125" customWidth="1"/>
    <col min="6" max="6" width="20.453125" customWidth="1"/>
    <col min="7" max="7" width="20.26953125" customWidth="1"/>
    <col min="8" max="8" width="20.81640625" customWidth="1"/>
    <col min="9" max="9" width="16.36328125" customWidth="1"/>
    <col min="10" max="10" width="16.1796875" customWidth="1"/>
    <col min="11" max="11" width="16.7265625" customWidth="1"/>
    <col min="12" max="12" width="18.36328125" customWidth="1"/>
    <col min="13" max="13" width="18.1796875" customWidth="1"/>
    <col min="14" max="15" width="18.7265625" customWidth="1"/>
    <col min="16" max="16" width="18.6328125" customWidth="1"/>
    <col min="17" max="17" width="18.453125" customWidth="1"/>
    <col min="18" max="18" width="19" customWidth="1"/>
    <col min="19" max="19" width="24.81640625" customWidth="1"/>
    <col min="20" max="20" width="24.6328125" customWidth="1"/>
    <col min="21" max="21" width="25.1796875" customWidth="1"/>
    <col min="22" max="22" width="20.7265625" customWidth="1"/>
    <col min="23" max="23" width="20.54296875" customWidth="1"/>
    <col min="24" max="24" width="21.08984375" customWidth="1"/>
    <col min="25" max="25" width="22.7265625" customWidth="1"/>
    <col min="26" max="26" width="22.54296875" customWidth="1"/>
    <col min="27" max="27" width="23.08984375" customWidth="1"/>
    <col min="28" max="29" width="24.81640625" customWidth="1"/>
    <col min="30" max="30" width="24.6328125" customWidth="1"/>
    <col min="31" max="31" width="23.6328125" customWidth="1"/>
    <col min="32" max="32" width="23.26953125" customWidth="1"/>
    <col min="33" max="33" width="20.453125" customWidth="1"/>
  </cols>
  <sheetData>
    <row r="1" spans="1:33" x14ac:dyDescent="0.35">
      <c r="A1" t="s">
        <v>0</v>
      </c>
      <c r="B1" t="s">
        <v>1</v>
      </c>
      <c r="C1" t="s">
        <v>2</v>
      </c>
      <c r="D1" t="s">
        <v>3</v>
      </c>
      <c r="E1" t="s">
        <v>4</v>
      </c>
      <c r="F1" t="s">
        <v>5</v>
      </c>
      <c r="G1" t="s">
        <v>6</v>
      </c>
      <c r="H1" t="s">
        <v>7</v>
      </c>
      <c r="I1" t="s">
        <v>8</v>
      </c>
      <c r="J1" t="s">
        <v>9</v>
      </c>
      <c r="K1" t="s">
        <v>10</v>
      </c>
      <c r="L1" t="s">
        <v>11</v>
      </c>
      <c r="M1" t="s">
        <v>12</v>
      </c>
      <c r="N1" t="s">
        <v>13</v>
      </c>
      <c r="O1" t="s">
        <v>90</v>
      </c>
      <c r="P1" t="s">
        <v>14</v>
      </c>
      <c r="Q1" t="s">
        <v>15</v>
      </c>
      <c r="R1" t="s">
        <v>16</v>
      </c>
      <c r="S1" t="s">
        <v>17</v>
      </c>
      <c r="T1" t="s">
        <v>18</v>
      </c>
      <c r="U1" t="s">
        <v>19</v>
      </c>
      <c r="V1" t="s">
        <v>20</v>
      </c>
      <c r="W1" t="s">
        <v>21</v>
      </c>
      <c r="X1" t="s">
        <v>22</v>
      </c>
      <c r="Y1" t="s">
        <v>23</v>
      </c>
      <c r="Z1" t="s">
        <v>24</v>
      </c>
      <c r="AA1" t="s">
        <v>25</v>
      </c>
      <c r="AB1" t="s">
        <v>26</v>
      </c>
      <c r="AC1" t="s">
        <v>76</v>
      </c>
      <c r="AD1" t="s">
        <v>27</v>
      </c>
      <c r="AE1" t="s">
        <v>28</v>
      </c>
      <c r="AF1" t="s">
        <v>29</v>
      </c>
      <c r="AG1" t="s">
        <v>30</v>
      </c>
    </row>
    <row r="2" spans="1:33" x14ac:dyDescent="0.35">
      <c r="A2" t="s">
        <v>31</v>
      </c>
      <c r="B2" t="s">
        <v>32</v>
      </c>
      <c r="C2">
        <v>0.8</v>
      </c>
      <c r="D2">
        <v>0.5</v>
      </c>
      <c r="E2">
        <v>0.7</v>
      </c>
      <c r="F2">
        <v>3.9</v>
      </c>
      <c r="G2">
        <v>1.1000000000000001</v>
      </c>
      <c r="H2">
        <v>1.2</v>
      </c>
      <c r="I2">
        <v>5.6</v>
      </c>
      <c r="J2">
        <v>5.6</v>
      </c>
      <c r="K2">
        <v>5.6</v>
      </c>
      <c r="L2">
        <v>17.7</v>
      </c>
      <c r="M2">
        <v>10.199999999999999</v>
      </c>
      <c r="N2">
        <v>14.1</v>
      </c>
      <c r="O2" s="3">
        <f>IFERROR(AVERAGE(tblMain[[#This Row],[Primary_Total]],tblMain[[#This Row],[Upper_Primary_Total]],tblMain[[#This Row],[Secondary_Total]],tblMain[[#This Row],[HrSecondary_Total]]), "NULL")</f>
        <v>5.4</v>
      </c>
      <c r="P2" t="s">
        <v>33</v>
      </c>
      <c r="Q2" t="s">
        <v>33</v>
      </c>
      <c r="R2" t="s">
        <v>33</v>
      </c>
      <c r="S2" t="s">
        <v>33</v>
      </c>
      <c r="T2" t="s">
        <v>33</v>
      </c>
      <c r="U2" t="s">
        <v>33</v>
      </c>
      <c r="V2" t="s">
        <v>33</v>
      </c>
      <c r="W2" t="s">
        <v>33</v>
      </c>
      <c r="X2" t="s">
        <v>33</v>
      </c>
      <c r="Y2" t="s">
        <v>33</v>
      </c>
      <c r="Z2" t="s">
        <v>33</v>
      </c>
      <c r="AA2" t="s">
        <v>33</v>
      </c>
      <c r="AB2" t="s">
        <v>33</v>
      </c>
      <c r="AC2" t="str">
        <f>IFERROR(AVERAGE(tblMain[[#This Row],[GER_Primary_Total]],tblMain[[#This Row],[GER_Upper_Primary_Total]],tblMain[[#This Row],[GER_Secondary_Total]],tblMain[[#This Row],[GER_HrSecondary_Girls]]),"NULL")</f>
        <v>NULL</v>
      </c>
      <c r="AD2" t="s">
        <v>33</v>
      </c>
      <c r="AE2" t="s">
        <v>33</v>
      </c>
      <c r="AF2" t="s">
        <v>33</v>
      </c>
      <c r="AG2" t="s">
        <v>33</v>
      </c>
    </row>
    <row r="3" spans="1:33" x14ac:dyDescent="0.35">
      <c r="A3" t="s">
        <v>31</v>
      </c>
      <c r="B3" t="s">
        <v>34</v>
      </c>
      <c r="C3">
        <v>1.4</v>
      </c>
      <c r="D3">
        <v>1.1000000000000001</v>
      </c>
      <c r="E3">
        <v>1.2</v>
      </c>
      <c r="F3">
        <v>4.9000000000000004</v>
      </c>
      <c r="G3">
        <v>1.5</v>
      </c>
      <c r="H3">
        <v>0.5</v>
      </c>
      <c r="I3">
        <v>8.4</v>
      </c>
      <c r="J3">
        <v>6</v>
      </c>
      <c r="K3">
        <v>7.2</v>
      </c>
      <c r="L3">
        <v>18.899999999999999</v>
      </c>
      <c r="M3">
        <v>12.2</v>
      </c>
      <c r="N3">
        <v>15.9</v>
      </c>
      <c r="O3" s="3">
        <f>IFERROR(AVERAGE(tblMain[[#This Row],[Primary_Total]],tblMain[[#This Row],[Upper_Primary_Total]],tblMain[[#This Row],[Secondary_Total]],tblMain[[#This Row],[HrSecondary_Total]]), "NULL")</f>
        <v>6.2</v>
      </c>
      <c r="P3">
        <v>95.9</v>
      </c>
      <c r="Q3">
        <v>92</v>
      </c>
      <c r="R3">
        <v>93.9</v>
      </c>
      <c r="S3">
        <v>94.7</v>
      </c>
      <c r="T3">
        <v>89</v>
      </c>
      <c r="U3">
        <v>91.8</v>
      </c>
      <c r="V3">
        <v>102.9</v>
      </c>
      <c r="W3">
        <v>97.4</v>
      </c>
      <c r="X3">
        <v>100.2</v>
      </c>
      <c r="Y3">
        <v>105.4</v>
      </c>
      <c r="Z3">
        <v>96.6</v>
      </c>
      <c r="AA3">
        <v>101.3</v>
      </c>
      <c r="AB3">
        <v>94.5</v>
      </c>
      <c r="AC3" s="3">
        <f>IFERROR(AVERAGE(tblMain[[#This Row],[GER_Primary_Total]],tblMain[[#This Row],[GER_Upper_Primary_Total]],tblMain[[#This Row],[GER_Secondary_Total]],tblMain[[#This Row],[GER_HrSecondary_Girls]]),"NULL")</f>
        <v>95.625</v>
      </c>
      <c r="AD3">
        <v>93.4</v>
      </c>
      <c r="AE3">
        <v>53.1</v>
      </c>
      <c r="AF3">
        <v>88.9</v>
      </c>
      <c r="AG3">
        <v>98.7</v>
      </c>
    </row>
    <row r="4" spans="1:33" x14ac:dyDescent="0.35">
      <c r="A4" t="s">
        <v>31</v>
      </c>
      <c r="B4" t="s">
        <v>35</v>
      </c>
      <c r="C4">
        <v>0.5</v>
      </c>
      <c r="D4">
        <v>0.6</v>
      </c>
      <c r="E4">
        <v>0.5</v>
      </c>
      <c r="F4">
        <v>1.4</v>
      </c>
      <c r="G4">
        <v>2</v>
      </c>
      <c r="H4">
        <v>1.7</v>
      </c>
      <c r="I4">
        <v>11.5</v>
      </c>
      <c r="J4">
        <v>8.1999999999999993</v>
      </c>
      <c r="K4">
        <v>9.9</v>
      </c>
      <c r="L4">
        <v>21.1</v>
      </c>
      <c r="M4">
        <v>12.2</v>
      </c>
      <c r="N4">
        <v>16.899999999999999</v>
      </c>
      <c r="O4" s="3">
        <f>IFERROR(AVERAGE(tblMain[[#This Row],[Primary_Total]],tblMain[[#This Row],[Upper_Primary_Total]],tblMain[[#This Row],[Secondary_Total]],tblMain[[#This Row],[HrSecondary_Total]]), "NULL")</f>
        <v>7.25</v>
      </c>
      <c r="P4">
        <v>92.9</v>
      </c>
      <c r="Q4">
        <v>88.9</v>
      </c>
      <c r="R4">
        <v>90.9</v>
      </c>
      <c r="S4">
        <v>90.6</v>
      </c>
      <c r="T4">
        <v>84.7</v>
      </c>
      <c r="U4">
        <v>87.6</v>
      </c>
      <c r="V4">
        <v>95.6</v>
      </c>
      <c r="W4">
        <v>90.1</v>
      </c>
      <c r="X4">
        <v>92.9</v>
      </c>
      <c r="Y4">
        <v>98.7</v>
      </c>
      <c r="Z4">
        <v>92.5</v>
      </c>
      <c r="AA4">
        <v>95.7</v>
      </c>
      <c r="AB4">
        <v>100</v>
      </c>
      <c r="AC4" s="3">
        <f>IFERROR(AVERAGE(tblMain[[#This Row],[GER_Primary_Total]],tblMain[[#This Row],[GER_Upper_Primary_Total]],tblMain[[#This Row],[GER_Secondary_Total]],tblMain[[#This Row],[GER_HrSecondary_Girls]]),"NULL")</f>
        <v>90.974999999999994</v>
      </c>
      <c r="AD4">
        <v>100</v>
      </c>
      <c r="AE4">
        <v>57.3</v>
      </c>
      <c r="AF4">
        <v>88.9</v>
      </c>
      <c r="AG4">
        <v>99.5</v>
      </c>
    </row>
    <row r="5" spans="1:33" x14ac:dyDescent="0.35">
      <c r="A5" t="s">
        <v>31</v>
      </c>
      <c r="B5" t="s">
        <v>36</v>
      </c>
      <c r="C5" t="s">
        <v>33</v>
      </c>
      <c r="D5" t="s">
        <v>33</v>
      </c>
      <c r="E5" t="s">
        <v>33</v>
      </c>
      <c r="F5" t="s">
        <v>33</v>
      </c>
      <c r="G5" t="s">
        <v>33</v>
      </c>
      <c r="H5" t="s">
        <v>33</v>
      </c>
      <c r="I5" t="s">
        <v>33</v>
      </c>
      <c r="J5" t="s">
        <v>33</v>
      </c>
      <c r="K5" t="s">
        <v>33</v>
      </c>
      <c r="L5" t="s">
        <v>33</v>
      </c>
      <c r="M5" t="s">
        <v>33</v>
      </c>
      <c r="N5" t="s">
        <v>33</v>
      </c>
      <c r="O5" s="3" t="str">
        <f>IFERROR(AVERAGE(tblMain[[#This Row],[Primary_Total]],tblMain[[#This Row],[Upper_Primary_Total]],tblMain[[#This Row],[Secondary_Total]],tblMain[[#This Row],[HrSecondary_Total]]), "NULL")</f>
        <v>NULL</v>
      </c>
      <c r="P5">
        <v>91.1</v>
      </c>
      <c r="Q5">
        <v>86.8</v>
      </c>
      <c r="R5">
        <v>88.9</v>
      </c>
      <c r="S5">
        <v>86.4</v>
      </c>
      <c r="T5">
        <v>82</v>
      </c>
      <c r="U5">
        <v>84.1</v>
      </c>
      <c r="V5">
        <v>89.1</v>
      </c>
      <c r="W5">
        <v>84.3</v>
      </c>
      <c r="X5">
        <v>86.7</v>
      </c>
      <c r="Y5">
        <v>72.900000000000006</v>
      </c>
      <c r="Z5">
        <v>76.400000000000006</v>
      </c>
      <c r="AA5">
        <v>74.599999999999994</v>
      </c>
      <c r="AB5">
        <v>100</v>
      </c>
      <c r="AC5" s="3">
        <f>IFERROR(AVERAGE(tblMain[[#This Row],[GER_Primary_Total]],tblMain[[#This Row],[GER_Upper_Primary_Total]],tblMain[[#This Row],[GER_Secondary_Total]],tblMain[[#This Row],[GER_HrSecondary_Girls]]),"NULL")</f>
        <v>84.025000000000006</v>
      </c>
      <c r="AD5">
        <v>100</v>
      </c>
      <c r="AE5">
        <v>57</v>
      </c>
      <c r="AF5">
        <v>90.1</v>
      </c>
      <c r="AG5">
        <v>100</v>
      </c>
    </row>
    <row r="6" spans="1:33" x14ac:dyDescent="0.35">
      <c r="A6" t="s">
        <v>37</v>
      </c>
      <c r="B6" t="s">
        <v>32</v>
      </c>
      <c r="C6">
        <v>3.3</v>
      </c>
      <c r="D6">
        <v>3.1</v>
      </c>
      <c r="E6">
        <v>3.2</v>
      </c>
      <c r="F6">
        <v>3.2</v>
      </c>
      <c r="G6">
        <v>3.5</v>
      </c>
      <c r="H6">
        <v>3.4</v>
      </c>
      <c r="I6">
        <v>12.2</v>
      </c>
      <c r="J6">
        <v>13.3</v>
      </c>
      <c r="K6">
        <v>12.7</v>
      </c>
      <c r="L6">
        <v>2.7</v>
      </c>
      <c r="M6">
        <v>6.7</v>
      </c>
      <c r="N6">
        <v>0.4</v>
      </c>
      <c r="O6" s="3">
        <f>IFERROR(AVERAGE(tblMain[[#This Row],[Primary_Total]],tblMain[[#This Row],[Upper_Primary_Total]],tblMain[[#This Row],[Secondary_Total]],tblMain[[#This Row],[HrSecondary_Total]]), "NULL")</f>
        <v>4.9249999999999989</v>
      </c>
      <c r="P6" t="s">
        <v>33</v>
      </c>
      <c r="Q6" t="s">
        <v>33</v>
      </c>
      <c r="R6" t="s">
        <v>33</v>
      </c>
      <c r="S6" t="s">
        <v>33</v>
      </c>
      <c r="T6" t="s">
        <v>33</v>
      </c>
      <c r="U6" t="s">
        <v>33</v>
      </c>
      <c r="V6" t="s">
        <v>33</v>
      </c>
      <c r="W6" t="s">
        <v>33</v>
      </c>
      <c r="X6" t="s">
        <v>33</v>
      </c>
      <c r="Y6" t="s">
        <v>33</v>
      </c>
      <c r="Z6" t="s">
        <v>33</v>
      </c>
      <c r="AA6" t="s">
        <v>33</v>
      </c>
      <c r="AB6" t="s">
        <v>33</v>
      </c>
      <c r="AC6" t="str">
        <f>IFERROR(AVERAGE(tblMain[[#This Row],[GER_Primary_Total]],tblMain[[#This Row],[GER_Upper_Primary_Total]],tblMain[[#This Row],[GER_Secondary_Total]],tblMain[[#This Row],[GER_HrSecondary_Girls]]),"NULL")</f>
        <v>NULL</v>
      </c>
      <c r="AD6" t="s">
        <v>33</v>
      </c>
      <c r="AE6" t="s">
        <v>33</v>
      </c>
      <c r="AF6" t="s">
        <v>33</v>
      </c>
      <c r="AG6" t="s">
        <v>33</v>
      </c>
    </row>
    <row r="7" spans="1:33" x14ac:dyDescent="0.35">
      <c r="A7" t="s">
        <v>37</v>
      </c>
      <c r="B7" t="s">
        <v>34</v>
      </c>
      <c r="C7">
        <v>4.3</v>
      </c>
      <c r="D7">
        <v>4.4000000000000004</v>
      </c>
      <c r="E7">
        <v>4.4000000000000004</v>
      </c>
      <c r="F7">
        <v>3.5</v>
      </c>
      <c r="G7">
        <v>4.0999999999999996</v>
      </c>
      <c r="H7">
        <v>3.8</v>
      </c>
      <c r="I7">
        <v>12</v>
      </c>
      <c r="J7">
        <v>13.4</v>
      </c>
      <c r="K7">
        <v>12.7</v>
      </c>
      <c r="L7">
        <v>12.7</v>
      </c>
      <c r="M7">
        <v>10.9</v>
      </c>
      <c r="N7">
        <v>11.8</v>
      </c>
      <c r="O7" s="3">
        <f>IFERROR(AVERAGE(tblMain[[#This Row],[Primary_Total]],tblMain[[#This Row],[Upper_Primary_Total]],tblMain[[#This Row],[Secondary_Total]],tblMain[[#This Row],[HrSecondary_Total]]), "NULL")</f>
        <v>8.1750000000000007</v>
      </c>
      <c r="P7">
        <v>96.6</v>
      </c>
      <c r="Q7">
        <v>96.9</v>
      </c>
      <c r="R7">
        <v>96.7</v>
      </c>
      <c r="S7">
        <v>82.8</v>
      </c>
      <c r="T7">
        <v>84.4</v>
      </c>
      <c r="U7">
        <v>83.6</v>
      </c>
      <c r="V7">
        <v>73.8</v>
      </c>
      <c r="W7">
        <v>76.8</v>
      </c>
      <c r="X7">
        <v>75.2</v>
      </c>
      <c r="Y7">
        <v>59.8</v>
      </c>
      <c r="Z7">
        <v>60.8</v>
      </c>
      <c r="AA7">
        <v>60.3</v>
      </c>
      <c r="AB7">
        <v>56.9</v>
      </c>
      <c r="AC7" s="3">
        <f>IFERROR(AVERAGE(tblMain[[#This Row],[GER_Primary_Total]],tblMain[[#This Row],[GER_Upper_Primary_Total]],tblMain[[#This Row],[GER_Secondary_Total]],tblMain[[#This Row],[GER_HrSecondary_Girls]]),"NULL")</f>
        <v>79.075000000000003</v>
      </c>
      <c r="AD7">
        <v>81.3</v>
      </c>
      <c r="AE7">
        <v>29.6</v>
      </c>
      <c r="AF7">
        <v>90.3</v>
      </c>
      <c r="AG7">
        <v>90.4</v>
      </c>
    </row>
    <row r="8" spans="1:33" x14ac:dyDescent="0.35">
      <c r="A8" t="s">
        <v>37</v>
      </c>
      <c r="B8" t="s">
        <v>36</v>
      </c>
      <c r="C8" t="s">
        <v>33</v>
      </c>
      <c r="D8" t="s">
        <v>33</v>
      </c>
      <c r="E8" t="s">
        <v>33</v>
      </c>
      <c r="F8" t="s">
        <v>33</v>
      </c>
      <c r="G8" t="s">
        <v>33</v>
      </c>
      <c r="H8" t="s">
        <v>33</v>
      </c>
      <c r="I8" t="s">
        <v>33</v>
      </c>
      <c r="J8" t="s">
        <v>33</v>
      </c>
      <c r="K8" t="s">
        <v>33</v>
      </c>
      <c r="L8" t="s">
        <v>33</v>
      </c>
      <c r="M8" t="s">
        <v>33</v>
      </c>
      <c r="N8" t="s">
        <v>33</v>
      </c>
      <c r="O8" s="3" t="str">
        <f>IFERROR(AVERAGE(tblMain[[#This Row],[Primary_Total]],tblMain[[#This Row],[Upper_Primary_Total]],tblMain[[#This Row],[Secondary_Total]],tblMain[[#This Row],[HrSecondary_Total]]), "NULL")</f>
        <v>NULL</v>
      </c>
      <c r="P8">
        <v>84.9</v>
      </c>
      <c r="Q8">
        <v>84.1</v>
      </c>
      <c r="R8">
        <v>84.5</v>
      </c>
      <c r="S8">
        <v>81.099999999999994</v>
      </c>
      <c r="T8">
        <v>81.599999999999994</v>
      </c>
      <c r="U8">
        <v>81.3</v>
      </c>
      <c r="V8">
        <v>74.599999999999994</v>
      </c>
      <c r="W8">
        <v>76.5</v>
      </c>
      <c r="X8">
        <v>75.5</v>
      </c>
      <c r="Y8">
        <v>58.3</v>
      </c>
      <c r="Z8">
        <v>62.3</v>
      </c>
      <c r="AA8">
        <v>60.2</v>
      </c>
      <c r="AB8">
        <v>99.7</v>
      </c>
      <c r="AC8" s="3">
        <f>IFERROR(AVERAGE(tblMain[[#This Row],[GER_Primary_Total]],tblMain[[#This Row],[GER_Upper_Primary_Total]],tblMain[[#This Row],[GER_Secondary_Total]],tblMain[[#This Row],[GER_HrSecondary_Girls]]),"NULL")</f>
        <v>75.900000000000006</v>
      </c>
      <c r="AD8">
        <v>99.7</v>
      </c>
      <c r="AE8">
        <v>30.6</v>
      </c>
      <c r="AF8">
        <v>93.5</v>
      </c>
      <c r="AG8">
        <v>95.4</v>
      </c>
    </row>
    <row r="9" spans="1:33" x14ac:dyDescent="0.35">
      <c r="A9" t="s">
        <v>37</v>
      </c>
      <c r="B9" t="s">
        <v>35</v>
      </c>
      <c r="C9" t="s">
        <v>33</v>
      </c>
      <c r="D9" t="s">
        <v>33</v>
      </c>
      <c r="E9" t="s">
        <v>33</v>
      </c>
      <c r="F9" t="s">
        <v>33</v>
      </c>
      <c r="G9" t="s">
        <v>33</v>
      </c>
      <c r="H9" t="s">
        <v>33</v>
      </c>
      <c r="I9" t="s">
        <v>33</v>
      </c>
      <c r="J9" t="s">
        <v>33</v>
      </c>
      <c r="K9" t="s">
        <v>33</v>
      </c>
      <c r="L9" t="s">
        <v>33</v>
      </c>
      <c r="M9" t="s">
        <v>33</v>
      </c>
      <c r="N9" t="s">
        <v>33</v>
      </c>
      <c r="O9" s="3" t="str">
        <f>IFERROR(AVERAGE(tblMain[[#This Row],[Primary_Total]],tblMain[[#This Row],[Upper_Primary_Total]],tblMain[[#This Row],[Secondary_Total]],tblMain[[#This Row],[HrSecondary_Total]]), "NULL")</f>
        <v>NULL</v>
      </c>
      <c r="P9">
        <v>88.3</v>
      </c>
      <c r="Q9">
        <v>88.1</v>
      </c>
      <c r="R9">
        <v>88.2</v>
      </c>
      <c r="S9">
        <v>79.3</v>
      </c>
      <c r="T9">
        <v>79.599999999999994</v>
      </c>
      <c r="U9">
        <v>79.5</v>
      </c>
      <c r="V9">
        <v>71.5</v>
      </c>
      <c r="W9">
        <v>73.400000000000006</v>
      </c>
      <c r="X9">
        <v>72.400000000000006</v>
      </c>
      <c r="Y9">
        <v>51.3</v>
      </c>
      <c r="Z9">
        <v>52</v>
      </c>
      <c r="AA9">
        <v>51.6</v>
      </c>
      <c r="AB9">
        <v>65.3</v>
      </c>
      <c r="AC9" s="3">
        <f>IFERROR(AVERAGE(tblMain[[#This Row],[GER_Primary_Total]],tblMain[[#This Row],[GER_Upper_Primary_Total]],tblMain[[#This Row],[GER_Secondary_Total]],tblMain[[#This Row],[GER_HrSecondary_Girls]]),"NULL")</f>
        <v>73.025000000000006</v>
      </c>
      <c r="AD9">
        <v>98.1</v>
      </c>
      <c r="AE9">
        <v>28.1</v>
      </c>
      <c r="AF9">
        <v>92.8</v>
      </c>
      <c r="AG9">
        <v>93.7</v>
      </c>
    </row>
    <row r="10" spans="1:33" x14ac:dyDescent="0.35">
      <c r="A10" t="s">
        <v>38</v>
      </c>
      <c r="B10" t="s">
        <v>34</v>
      </c>
      <c r="C10">
        <v>11.5</v>
      </c>
      <c r="D10">
        <v>10.199999999999999</v>
      </c>
      <c r="E10">
        <v>10.9</v>
      </c>
      <c r="F10">
        <v>4.4000000000000004</v>
      </c>
      <c r="G10">
        <v>6.7</v>
      </c>
      <c r="H10">
        <v>5.6</v>
      </c>
      <c r="I10">
        <v>16.100000000000001</v>
      </c>
      <c r="J10">
        <v>12.8</v>
      </c>
      <c r="K10">
        <v>14.5</v>
      </c>
      <c r="L10">
        <v>18.600000000000001</v>
      </c>
      <c r="M10">
        <v>15.5</v>
      </c>
      <c r="N10">
        <v>17.100000000000001</v>
      </c>
      <c r="O10" s="3">
        <f>IFERROR(AVERAGE(tblMain[[#This Row],[Primary_Total]],tblMain[[#This Row],[Upper_Primary_Total]],tblMain[[#This Row],[Secondary_Total]],tblMain[[#This Row],[HrSecondary_Total]]), "NULL")</f>
        <v>12.025</v>
      </c>
      <c r="P10">
        <v>129.1</v>
      </c>
      <c r="Q10">
        <v>127.8</v>
      </c>
      <c r="R10">
        <v>128.5</v>
      </c>
      <c r="S10">
        <v>112.6</v>
      </c>
      <c r="T10">
        <v>115.3</v>
      </c>
      <c r="U10">
        <v>113.9</v>
      </c>
      <c r="V10">
        <v>88.4</v>
      </c>
      <c r="W10">
        <v>84.9</v>
      </c>
      <c r="X10">
        <v>86.7</v>
      </c>
      <c r="Y10">
        <v>65.2</v>
      </c>
      <c r="Z10">
        <v>65.400000000000006</v>
      </c>
      <c r="AA10">
        <v>65.3</v>
      </c>
      <c r="AB10">
        <v>48.7</v>
      </c>
      <c r="AC10" s="3">
        <f>IFERROR(AVERAGE(tblMain[[#This Row],[GER_Primary_Total]],tblMain[[#This Row],[GER_Upper_Primary_Total]],tblMain[[#This Row],[GER_Secondary_Total]],tblMain[[#This Row],[GER_HrSecondary_Girls]]),"NULL")</f>
        <v>98.625</v>
      </c>
      <c r="AD10">
        <v>76.900000000000006</v>
      </c>
      <c r="AE10">
        <v>24.3</v>
      </c>
      <c r="AF10">
        <v>36.4</v>
      </c>
      <c r="AG10">
        <v>79.8</v>
      </c>
    </row>
    <row r="11" spans="1:33" x14ac:dyDescent="0.35">
      <c r="A11" t="s">
        <v>38</v>
      </c>
      <c r="B11" t="s">
        <v>32</v>
      </c>
      <c r="C11">
        <v>15.8</v>
      </c>
      <c r="D11">
        <v>14.4</v>
      </c>
      <c r="E11">
        <v>15.2</v>
      </c>
      <c r="F11">
        <v>5.9</v>
      </c>
      <c r="G11">
        <v>9.1</v>
      </c>
      <c r="H11">
        <v>7.5</v>
      </c>
      <c r="I11">
        <v>14</v>
      </c>
      <c r="J11">
        <v>11.8</v>
      </c>
      <c r="K11">
        <v>12.9</v>
      </c>
      <c r="L11">
        <v>7.9</v>
      </c>
      <c r="M11">
        <v>2.1</v>
      </c>
      <c r="N11">
        <v>5.0999999999999996</v>
      </c>
      <c r="O11" s="3">
        <f>IFERROR(AVERAGE(tblMain[[#This Row],[Primary_Total]],tblMain[[#This Row],[Upper_Primary_Total]],tblMain[[#This Row],[Secondary_Total]],tblMain[[#This Row],[HrSecondary_Total]]), "NULL")</f>
        <v>10.175000000000001</v>
      </c>
      <c r="P11" t="s">
        <v>33</v>
      </c>
      <c r="Q11" t="s">
        <v>33</v>
      </c>
      <c r="R11" t="s">
        <v>33</v>
      </c>
      <c r="S11" t="s">
        <v>33</v>
      </c>
      <c r="T11" t="s">
        <v>33</v>
      </c>
      <c r="U11" t="s">
        <v>33</v>
      </c>
      <c r="V11" t="s">
        <v>33</v>
      </c>
      <c r="W11" t="s">
        <v>33</v>
      </c>
      <c r="X11" t="s">
        <v>33</v>
      </c>
      <c r="Y11" t="s">
        <v>33</v>
      </c>
      <c r="Z11" t="s">
        <v>33</v>
      </c>
      <c r="AA11" t="s">
        <v>33</v>
      </c>
      <c r="AB11" t="s">
        <v>33</v>
      </c>
      <c r="AC11" t="str">
        <f>IFERROR(AVERAGE(tblMain[[#This Row],[GER_Primary_Total]],tblMain[[#This Row],[GER_Upper_Primary_Total]],tblMain[[#This Row],[GER_Secondary_Total]],tblMain[[#This Row],[GER_HrSecondary_Girls]]),"NULL")</f>
        <v>NULL</v>
      </c>
      <c r="AD11" t="s">
        <v>33</v>
      </c>
      <c r="AE11" t="s">
        <v>33</v>
      </c>
      <c r="AF11" t="s">
        <v>33</v>
      </c>
      <c r="AG11" t="s">
        <v>33</v>
      </c>
    </row>
    <row r="12" spans="1:33" x14ac:dyDescent="0.35">
      <c r="A12" t="s">
        <v>38</v>
      </c>
      <c r="B12" t="s">
        <v>35</v>
      </c>
      <c r="C12">
        <v>11.5</v>
      </c>
      <c r="D12">
        <v>10.1</v>
      </c>
      <c r="E12">
        <v>10.8</v>
      </c>
      <c r="F12">
        <v>5.3</v>
      </c>
      <c r="G12">
        <v>8.1</v>
      </c>
      <c r="H12">
        <v>6.7</v>
      </c>
      <c r="I12">
        <v>18.3</v>
      </c>
      <c r="J12">
        <v>15.8</v>
      </c>
      <c r="K12">
        <v>17.100000000000001</v>
      </c>
      <c r="L12">
        <v>19.399999999999999</v>
      </c>
      <c r="M12">
        <v>17.399999999999999</v>
      </c>
      <c r="N12">
        <v>18.399999999999999</v>
      </c>
      <c r="O12" s="3">
        <f>IFERROR(AVERAGE(tblMain[[#This Row],[Primary_Total]],tblMain[[#This Row],[Upper_Primary_Total]],tblMain[[#This Row],[Secondary_Total]],tblMain[[#This Row],[HrSecondary_Total]]), "NULL")</f>
        <v>13.25</v>
      </c>
      <c r="P12">
        <v>128.80000000000001</v>
      </c>
      <c r="Q12">
        <v>127.5</v>
      </c>
      <c r="R12">
        <v>128.1</v>
      </c>
      <c r="S12">
        <v>120.1</v>
      </c>
      <c r="T12">
        <v>125</v>
      </c>
      <c r="U12">
        <v>122.5</v>
      </c>
      <c r="V12">
        <v>93.1</v>
      </c>
      <c r="W12">
        <v>90.1</v>
      </c>
      <c r="X12">
        <v>91.6</v>
      </c>
      <c r="Y12">
        <v>68</v>
      </c>
      <c r="Z12">
        <v>69.400000000000006</v>
      </c>
      <c r="AA12">
        <v>68.7</v>
      </c>
      <c r="AB12">
        <v>96</v>
      </c>
      <c r="AC12" s="3">
        <f>IFERROR(AVERAGE(tblMain[[#This Row],[GER_Primary_Total]],tblMain[[#This Row],[GER_Upper_Primary_Total]],tblMain[[#This Row],[GER_Secondary_Total]],tblMain[[#This Row],[GER_HrSecondary_Girls]]),"NULL")</f>
        <v>102.9</v>
      </c>
      <c r="AD12">
        <v>96.9</v>
      </c>
      <c r="AE12">
        <v>24.7</v>
      </c>
      <c r="AF12">
        <v>38.6</v>
      </c>
      <c r="AG12">
        <v>80.599999999999994</v>
      </c>
    </row>
    <row r="13" spans="1:33" x14ac:dyDescent="0.35">
      <c r="A13" t="s">
        <v>38</v>
      </c>
      <c r="B13" t="s">
        <v>36</v>
      </c>
      <c r="C13" t="s">
        <v>33</v>
      </c>
      <c r="D13" t="s">
        <v>33</v>
      </c>
      <c r="E13" t="s">
        <v>33</v>
      </c>
      <c r="F13" t="s">
        <v>33</v>
      </c>
      <c r="G13" t="s">
        <v>33</v>
      </c>
      <c r="H13" t="s">
        <v>33</v>
      </c>
      <c r="I13" t="s">
        <v>33</v>
      </c>
      <c r="J13" t="s">
        <v>33</v>
      </c>
      <c r="K13" t="s">
        <v>33</v>
      </c>
      <c r="L13" t="s">
        <v>33</v>
      </c>
      <c r="M13" t="s">
        <v>33</v>
      </c>
      <c r="N13" t="s">
        <v>33</v>
      </c>
      <c r="O13" s="3" t="str">
        <f>IFERROR(AVERAGE(tblMain[[#This Row],[Primary_Total]],tblMain[[#This Row],[Upper_Primary_Total]],tblMain[[#This Row],[Secondary_Total]],tblMain[[#This Row],[HrSecondary_Total]]), "NULL")</f>
        <v>NULL</v>
      </c>
      <c r="P13">
        <v>127.6</v>
      </c>
      <c r="Q13">
        <v>125.9</v>
      </c>
      <c r="R13">
        <v>126.8</v>
      </c>
      <c r="S13">
        <v>127.1</v>
      </c>
      <c r="T13">
        <v>133.19999999999999</v>
      </c>
      <c r="U13">
        <v>130.1</v>
      </c>
      <c r="V13">
        <v>91.7</v>
      </c>
      <c r="W13">
        <v>87.6</v>
      </c>
      <c r="X13">
        <v>89.6</v>
      </c>
      <c r="Y13">
        <v>62</v>
      </c>
      <c r="Z13">
        <v>61.6</v>
      </c>
      <c r="AA13">
        <v>61.8</v>
      </c>
      <c r="AB13">
        <v>95.7</v>
      </c>
      <c r="AC13" s="3">
        <f>IFERROR(AVERAGE(tblMain[[#This Row],[GER_Primary_Total]],tblMain[[#This Row],[GER_Upper_Primary_Total]],tblMain[[#This Row],[GER_Secondary_Total]],tblMain[[#This Row],[GER_HrSecondary_Girls]]),"NULL")</f>
        <v>102.02500000000001</v>
      </c>
      <c r="AD13">
        <v>96.6</v>
      </c>
      <c r="AE13">
        <v>24.4</v>
      </c>
      <c r="AF13">
        <v>39.5</v>
      </c>
      <c r="AG13">
        <v>81.5</v>
      </c>
    </row>
    <row r="14" spans="1:33" x14ac:dyDescent="0.35">
      <c r="A14" t="s">
        <v>39</v>
      </c>
      <c r="B14" t="s">
        <v>32</v>
      </c>
      <c r="C14">
        <v>7</v>
      </c>
      <c r="D14">
        <v>5.5</v>
      </c>
      <c r="E14">
        <v>6.2</v>
      </c>
      <c r="F14">
        <v>7.9</v>
      </c>
      <c r="G14">
        <v>6.6</v>
      </c>
      <c r="H14">
        <v>7.2</v>
      </c>
      <c r="I14">
        <v>25.7</v>
      </c>
      <c r="J14">
        <v>27.8</v>
      </c>
      <c r="K14">
        <v>26.8</v>
      </c>
      <c r="L14">
        <v>4.9000000000000004</v>
      </c>
      <c r="M14">
        <v>4.5</v>
      </c>
      <c r="N14">
        <v>4.7</v>
      </c>
      <c r="O14" s="3">
        <f>IFERROR(AVERAGE(tblMain[[#This Row],[Primary_Total]],tblMain[[#This Row],[Upper_Primary_Total]],tblMain[[#This Row],[Secondary_Total]],tblMain[[#This Row],[HrSecondary_Total]]), "NULL")</f>
        <v>11.225000000000001</v>
      </c>
      <c r="P14" t="s">
        <v>33</v>
      </c>
      <c r="Q14" t="s">
        <v>33</v>
      </c>
      <c r="R14" t="s">
        <v>33</v>
      </c>
      <c r="S14" t="s">
        <v>33</v>
      </c>
      <c r="T14" t="s">
        <v>33</v>
      </c>
      <c r="U14" t="s">
        <v>33</v>
      </c>
      <c r="V14" t="s">
        <v>33</v>
      </c>
      <c r="W14" t="s">
        <v>33</v>
      </c>
      <c r="X14" t="s">
        <v>33</v>
      </c>
      <c r="Y14" t="s">
        <v>33</v>
      </c>
      <c r="Z14" t="s">
        <v>33</v>
      </c>
      <c r="AA14" t="s">
        <v>33</v>
      </c>
      <c r="AB14" t="s">
        <v>33</v>
      </c>
      <c r="AC14" t="str">
        <f>IFERROR(AVERAGE(tblMain[[#This Row],[GER_Primary_Total]],tblMain[[#This Row],[GER_Upper_Primary_Total]],tblMain[[#This Row],[GER_Secondary_Total]],tblMain[[#This Row],[GER_HrSecondary_Girls]]),"NULL")</f>
        <v>NULL</v>
      </c>
      <c r="AD14" t="s">
        <v>33</v>
      </c>
      <c r="AE14" t="s">
        <v>33</v>
      </c>
      <c r="AF14" t="s">
        <v>33</v>
      </c>
      <c r="AG14" t="s">
        <v>33</v>
      </c>
    </row>
    <row r="15" spans="1:33" x14ac:dyDescent="0.35">
      <c r="A15" t="s">
        <v>39</v>
      </c>
      <c r="B15" t="s">
        <v>34</v>
      </c>
      <c r="C15">
        <v>8.1999999999999993</v>
      </c>
      <c r="D15">
        <v>6.7</v>
      </c>
      <c r="E15">
        <v>7.4</v>
      </c>
      <c r="F15">
        <v>7.6</v>
      </c>
      <c r="G15">
        <v>6.5</v>
      </c>
      <c r="H15">
        <v>7.1</v>
      </c>
      <c r="I15">
        <v>28.6</v>
      </c>
      <c r="J15">
        <v>32.1</v>
      </c>
      <c r="K15">
        <v>30.4</v>
      </c>
      <c r="L15">
        <v>7.6</v>
      </c>
      <c r="M15">
        <v>6.8</v>
      </c>
      <c r="N15">
        <v>7.2</v>
      </c>
      <c r="O15" s="3">
        <f>IFERROR(AVERAGE(tblMain[[#This Row],[Primary_Total]],tblMain[[#This Row],[Upper_Primary_Total]],tblMain[[#This Row],[Secondary_Total]],tblMain[[#This Row],[HrSecondary_Total]]), "NULL")</f>
        <v>13.025</v>
      </c>
      <c r="P15">
        <v>111.8</v>
      </c>
      <c r="Q15">
        <v>115.2</v>
      </c>
      <c r="R15">
        <v>113.4</v>
      </c>
      <c r="S15">
        <v>87.9</v>
      </c>
      <c r="T15">
        <v>98.7</v>
      </c>
      <c r="U15">
        <v>93.1</v>
      </c>
      <c r="V15">
        <v>65.599999999999994</v>
      </c>
      <c r="W15">
        <v>77.2</v>
      </c>
      <c r="X15">
        <v>71.2</v>
      </c>
      <c r="Y15">
        <v>31.8</v>
      </c>
      <c r="Z15">
        <v>34.299999999999997</v>
      </c>
      <c r="AA15">
        <v>32.9</v>
      </c>
      <c r="AB15">
        <v>60.2</v>
      </c>
      <c r="AC15" s="3">
        <f>IFERROR(AVERAGE(tblMain[[#This Row],[GER_Primary_Total]],tblMain[[#This Row],[GER_Upper_Primary_Total]],tblMain[[#This Row],[GER_Secondary_Total]],tblMain[[#This Row],[GER_HrSecondary_Girls]]),"NULL")</f>
        <v>78</v>
      </c>
      <c r="AD15">
        <v>75.3</v>
      </c>
      <c r="AE15">
        <v>8.9</v>
      </c>
      <c r="AF15">
        <v>19.399999999999999</v>
      </c>
      <c r="AG15">
        <v>80.3</v>
      </c>
    </row>
    <row r="16" spans="1:33" x14ac:dyDescent="0.35">
      <c r="A16" t="s">
        <v>39</v>
      </c>
      <c r="B16" t="s">
        <v>36</v>
      </c>
      <c r="C16" t="s">
        <v>33</v>
      </c>
      <c r="D16" t="s">
        <v>33</v>
      </c>
      <c r="E16" t="s">
        <v>33</v>
      </c>
      <c r="F16" t="s">
        <v>33</v>
      </c>
      <c r="G16" t="s">
        <v>33</v>
      </c>
      <c r="H16" t="s">
        <v>33</v>
      </c>
      <c r="I16" t="s">
        <v>33</v>
      </c>
      <c r="J16" t="s">
        <v>33</v>
      </c>
      <c r="K16" t="s">
        <v>33</v>
      </c>
      <c r="L16" t="s">
        <v>33</v>
      </c>
      <c r="M16" t="s">
        <v>33</v>
      </c>
      <c r="N16" t="s">
        <v>33</v>
      </c>
      <c r="O16" s="3" t="str">
        <f>IFERROR(AVERAGE(tblMain[[#This Row],[Primary_Total]],tblMain[[#This Row],[Upper_Primary_Total]],tblMain[[#This Row],[Secondary_Total]],tblMain[[#This Row],[HrSecondary_Total]]), "NULL")</f>
        <v>NULL</v>
      </c>
      <c r="P16">
        <v>104.7</v>
      </c>
      <c r="Q16">
        <v>107.6</v>
      </c>
      <c r="R16">
        <v>106.1</v>
      </c>
      <c r="S16">
        <v>87.7</v>
      </c>
      <c r="T16">
        <v>98.8</v>
      </c>
      <c r="U16">
        <v>93.1</v>
      </c>
      <c r="V16">
        <v>72.5</v>
      </c>
      <c r="W16">
        <v>83</v>
      </c>
      <c r="X16">
        <v>77.599999999999994</v>
      </c>
      <c r="Y16">
        <v>38.200000000000003</v>
      </c>
      <c r="Z16">
        <v>39.5</v>
      </c>
      <c r="AA16">
        <v>38.799999999999997</v>
      </c>
      <c r="AB16">
        <v>82.8</v>
      </c>
      <c r="AC16" s="3">
        <f>IFERROR(AVERAGE(tblMain[[#This Row],[GER_Primary_Total]],tblMain[[#This Row],[GER_Upper_Primary_Total]],tblMain[[#This Row],[GER_Secondary_Total]],tblMain[[#This Row],[GER_HrSecondary_Girls]]),"NULL")</f>
        <v>79.074999999999989</v>
      </c>
      <c r="AD16">
        <v>83.9</v>
      </c>
      <c r="AE16">
        <v>10.8</v>
      </c>
      <c r="AF16">
        <v>25.6</v>
      </c>
      <c r="AG16">
        <v>86.2</v>
      </c>
    </row>
    <row r="17" spans="1:33" x14ac:dyDescent="0.35">
      <c r="A17" t="s">
        <v>39</v>
      </c>
      <c r="B17" t="s">
        <v>35</v>
      </c>
      <c r="C17" t="s">
        <v>33</v>
      </c>
      <c r="D17" t="s">
        <v>33</v>
      </c>
      <c r="E17" t="s">
        <v>33</v>
      </c>
      <c r="F17" t="s">
        <v>33</v>
      </c>
      <c r="G17" t="s">
        <v>33</v>
      </c>
      <c r="H17" t="s">
        <v>33</v>
      </c>
      <c r="I17" t="s">
        <v>33</v>
      </c>
      <c r="J17" t="s">
        <v>33</v>
      </c>
      <c r="K17" t="s">
        <v>33</v>
      </c>
      <c r="L17" t="s">
        <v>33</v>
      </c>
      <c r="M17" t="s">
        <v>33</v>
      </c>
      <c r="N17" t="s">
        <v>33</v>
      </c>
      <c r="O17" s="3" t="str">
        <f>IFERROR(AVERAGE(tblMain[[#This Row],[Primary_Total]],tblMain[[#This Row],[Upper_Primary_Total]],tblMain[[#This Row],[Secondary_Total]],tblMain[[#This Row],[HrSecondary_Total]]), "NULL")</f>
        <v>NULL</v>
      </c>
      <c r="P17">
        <v>113.4</v>
      </c>
      <c r="Q17">
        <v>116.6</v>
      </c>
      <c r="R17">
        <v>115</v>
      </c>
      <c r="S17">
        <v>90.1</v>
      </c>
      <c r="T17">
        <v>101.9</v>
      </c>
      <c r="U17">
        <v>95.9</v>
      </c>
      <c r="V17">
        <v>69.400000000000006</v>
      </c>
      <c r="W17">
        <v>80.599999999999994</v>
      </c>
      <c r="X17">
        <v>74.8</v>
      </c>
      <c r="Y17">
        <v>32.700000000000003</v>
      </c>
      <c r="Z17">
        <v>35.4</v>
      </c>
      <c r="AA17">
        <v>34</v>
      </c>
      <c r="AB17">
        <v>54.8</v>
      </c>
      <c r="AC17" s="3">
        <f>IFERROR(AVERAGE(tblMain[[#This Row],[GER_Primary_Total]],tblMain[[#This Row],[GER_Upper_Primary_Total]],tblMain[[#This Row],[GER_Secondary_Total]],tblMain[[#This Row],[GER_HrSecondary_Girls]]),"NULL")</f>
        <v>80.274999999999991</v>
      </c>
      <c r="AD17">
        <v>74.900000000000006</v>
      </c>
      <c r="AE17">
        <v>9.8000000000000007</v>
      </c>
      <c r="AF17">
        <v>22.4</v>
      </c>
      <c r="AG17">
        <v>83.4</v>
      </c>
    </row>
    <row r="18" spans="1:33" x14ac:dyDescent="0.35">
      <c r="A18" t="s">
        <v>40</v>
      </c>
      <c r="B18" t="s">
        <v>34</v>
      </c>
      <c r="C18" t="s">
        <v>33</v>
      </c>
      <c r="D18" t="s">
        <v>33</v>
      </c>
      <c r="E18" t="s">
        <v>33</v>
      </c>
      <c r="F18" t="s">
        <v>33</v>
      </c>
      <c r="G18" t="s">
        <v>33</v>
      </c>
      <c r="H18" t="s">
        <v>33</v>
      </c>
      <c r="I18" t="s">
        <v>33</v>
      </c>
      <c r="J18" t="s">
        <v>33</v>
      </c>
      <c r="K18" t="s">
        <v>33</v>
      </c>
      <c r="L18" t="s">
        <v>33</v>
      </c>
      <c r="M18" t="s">
        <v>33</v>
      </c>
      <c r="N18" t="s">
        <v>33</v>
      </c>
      <c r="O18" s="3" t="str">
        <f>IFERROR(AVERAGE(tblMain[[#This Row],[Primary_Total]],tblMain[[#This Row],[Upper_Primary_Total]],tblMain[[#This Row],[Secondary_Total]],tblMain[[#This Row],[HrSecondary_Total]]), "NULL")</f>
        <v>NULL</v>
      </c>
      <c r="P18">
        <v>95</v>
      </c>
      <c r="Q18">
        <v>101.2</v>
      </c>
      <c r="R18">
        <v>98</v>
      </c>
      <c r="S18">
        <v>80.599999999999994</v>
      </c>
      <c r="T18">
        <v>94.9</v>
      </c>
      <c r="U18">
        <v>87.2</v>
      </c>
      <c r="V18">
        <v>57.7</v>
      </c>
      <c r="W18">
        <v>63</v>
      </c>
      <c r="X18">
        <v>60.1</v>
      </c>
      <c r="Y18">
        <v>23.3</v>
      </c>
      <c r="Z18">
        <v>24.2</v>
      </c>
      <c r="AA18">
        <v>23.7</v>
      </c>
      <c r="AB18">
        <v>73.400000000000006</v>
      </c>
      <c r="AC18" s="3">
        <f>IFERROR(AVERAGE(tblMain[[#This Row],[GER_Primary_Total]],tblMain[[#This Row],[GER_Upper_Primary_Total]],tblMain[[#This Row],[GER_Secondary_Total]],tblMain[[#This Row],[GER_HrSecondary_Girls]]),"NULL")</f>
        <v>67.375</v>
      </c>
      <c r="AD18">
        <v>75.400000000000006</v>
      </c>
      <c r="AE18">
        <v>5.5</v>
      </c>
      <c r="AF18">
        <v>10</v>
      </c>
      <c r="AG18">
        <v>92.5</v>
      </c>
    </row>
    <row r="19" spans="1:33" x14ac:dyDescent="0.35">
      <c r="A19" t="s">
        <v>40</v>
      </c>
      <c r="B19" t="s">
        <v>36</v>
      </c>
      <c r="C19" t="s">
        <v>33</v>
      </c>
      <c r="D19" t="s">
        <v>33</v>
      </c>
      <c r="E19" t="s">
        <v>33</v>
      </c>
      <c r="F19" t="s">
        <v>33</v>
      </c>
      <c r="G19" t="s">
        <v>33</v>
      </c>
      <c r="H19" t="s">
        <v>33</v>
      </c>
      <c r="I19" t="s">
        <v>33</v>
      </c>
      <c r="J19" t="s">
        <v>33</v>
      </c>
      <c r="K19" t="s">
        <v>33</v>
      </c>
      <c r="L19" t="s">
        <v>33</v>
      </c>
      <c r="M19" t="s">
        <v>33</v>
      </c>
      <c r="N19" t="s">
        <v>33</v>
      </c>
      <c r="O19" s="3" t="str">
        <f>IFERROR(AVERAGE(tblMain[[#This Row],[Primary_Total]],tblMain[[#This Row],[Upper_Primary_Total]],tblMain[[#This Row],[Secondary_Total]],tblMain[[#This Row],[HrSecondary_Total]]), "NULL")</f>
        <v>NULL</v>
      </c>
      <c r="P19">
        <v>104.4</v>
      </c>
      <c r="Q19">
        <v>111.3</v>
      </c>
      <c r="R19">
        <v>107.7</v>
      </c>
      <c r="S19">
        <v>98.2</v>
      </c>
      <c r="T19">
        <v>119.4</v>
      </c>
      <c r="U19">
        <v>107.9</v>
      </c>
      <c r="V19">
        <v>72.400000000000006</v>
      </c>
      <c r="W19">
        <v>85.4</v>
      </c>
      <c r="X19">
        <v>78.400000000000006</v>
      </c>
      <c r="Y19">
        <v>34.799999999999997</v>
      </c>
      <c r="Z19">
        <v>36.700000000000003</v>
      </c>
      <c r="AA19">
        <v>35.6</v>
      </c>
      <c r="AB19">
        <v>89.2</v>
      </c>
      <c r="AC19" s="3">
        <f>IFERROR(AVERAGE(tblMain[[#This Row],[GER_Primary_Total]],tblMain[[#This Row],[GER_Upper_Primary_Total]],tblMain[[#This Row],[GER_Secondary_Total]],tblMain[[#This Row],[GER_HrSecondary_Girls]]),"NULL")</f>
        <v>82.674999999999997</v>
      </c>
      <c r="AD19">
        <v>90.1</v>
      </c>
      <c r="AE19">
        <v>9.4</v>
      </c>
      <c r="AF19">
        <v>37.799999999999997</v>
      </c>
      <c r="AG19">
        <v>94.4</v>
      </c>
    </row>
    <row r="20" spans="1:33" x14ac:dyDescent="0.35">
      <c r="A20" t="s">
        <v>40</v>
      </c>
      <c r="B20" t="s">
        <v>35</v>
      </c>
      <c r="C20" t="s">
        <v>33</v>
      </c>
      <c r="D20" t="s">
        <v>33</v>
      </c>
      <c r="E20" t="s">
        <v>33</v>
      </c>
      <c r="F20" t="s">
        <v>33</v>
      </c>
      <c r="G20" t="s">
        <v>33</v>
      </c>
      <c r="H20" t="s">
        <v>33</v>
      </c>
      <c r="I20" t="s">
        <v>33</v>
      </c>
      <c r="J20" t="s">
        <v>33</v>
      </c>
      <c r="K20" t="s">
        <v>33</v>
      </c>
      <c r="L20" t="s">
        <v>33</v>
      </c>
      <c r="M20" t="s">
        <v>33</v>
      </c>
      <c r="N20" t="s">
        <v>33</v>
      </c>
      <c r="O20" s="3" t="str">
        <f>IFERROR(AVERAGE(tblMain[[#This Row],[Primary_Total]],tblMain[[#This Row],[Upper_Primary_Total]],tblMain[[#This Row],[Secondary_Total]],tblMain[[#This Row],[HrSecondary_Total]]), "NULL")</f>
        <v>NULL</v>
      </c>
      <c r="P20">
        <v>98.1</v>
      </c>
      <c r="Q20">
        <v>104.4</v>
      </c>
      <c r="R20">
        <v>101.1</v>
      </c>
      <c r="S20">
        <v>89.8</v>
      </c>
      <c r="T20">
        <v>107.7</v>
      </c>
      <c r="U20">
        <v>98.1</v>
      </c>
      <c r="V20">
        <v>65.099999999999994</v>
      </c>
      <c r="W20">
        <v>73.900000000000006</v>
      </c>
      <c r="X20">
        <v>69.099999999999994</v>
      </c>
      <c r="Y20">
        <v>31.9</v>
      </c>
      <c r="Z20">
        <v>31.7</v>
      </c>
      <c r="AA20">
        <v>31.8</v>
      </c>
      <c r="AB20">
        <v>73.900000000000006</v>
      </c>
      <c r="AC20" s="3">
        <f>IFERROR(AVERAGE(tblMain[[#This Row],[GER_Primary_Total]],tblMain[[#This Row],[GER_Upper_Primary_Total]],tblMain[[#This Row],[GER_Secondary_Total]],tblMain[[#This Row],[GER_HrSecondary_Girls]]),"NULL")</f>
        <v>74.999999999999986</v>
      </c>
      <c r="AD20">
        <v>76.3</v>
      </c>
      <c r="AE20">
        <v>8.1999999999999993</v>
      </c>
      <c r="AF20">
        <v>25.2</v>
      </c>
      <c r="AG20">
        <v>92.7</v>
      </c>
    </row>
    <row r="21" spans="1:33" x14ac:dyDescent="0.35">
      <c r="A21" t="s">
        <v>41</v>
      </c>
      <c r="B21" t="s">
        <v>34</v>
      </c>
      <c r="C21" t="s">
        <v>33</v>
      </c>
      <c r="D21" t="s">
        <v>33</v>
      </c>
      <c r="E21" t="s">
        <v>33</v>
      </c>
      <c r="F21" t="s">
        <v>33</v>
      </c>
      <c r="G21" t="s">
        <v>33</v>
      </c>
      <c r="H21" t="s">
        <v>33</v>
      </c>
      <c r="I21" t="s">
        <v>33</v>
      </c>
      <c r="J21" t="s">
        <v>33</v>
      </c>
      <c r="K21" t="s">
        <v>33</v>
      </c>
      <c r="L21" t="s">
        <v>33</v>
      </c>
      <c r="M21" t="s">
        <v>33</v>
      </c>
      <c r="N21" t="s">
        <v>33</v>
      </c>
      <c r="O21" s="3" t="str">
        <f>IFERROR(AVERAGE(tblMain[[#This Row],[Primary_Total]],tblMain[[#This Row],[Upper_Primary_Total]],tblMain[[#This Row],[Secondary_Total]],tblMain[[#This Row],[HrSecondary_Total]]), "NULL")</f>
        <v>NULL</v>
      </c>
      <c r="P21">
        <v>88.4</v>
      </c>
      <c r="Q21">
        <v>96.1</v>
      </c>
      <c r="R21">
        <v>91.9</v>
      </c>
      <c r="S21">
        <v>99.9</v>
      </c>
      <c r="T21">
        <v>103</v>
      </c>
      <c r="U21">
        <v>101.3</v>
      </c>
      <c r="V21">
        <v>92.1</v>
      </c>
      <c r="W21">
        <v>92.2</v>
      </c>
      <c r="X21">
        <v>92.1</v>
      </c>
      <c r="Y21">
        <v>90.5</v>
      </c>
      <c r="Z21">
        <v>92.9</v>
      </c>
      <c r="AA21">
        <v>91.5</v>
      </c>
      <c r="AB21">
        <v>100</v>
      </c>
      <c r="AC21" s="3">
        <f>IFERROR(AVERAGE(tblMain[[#This Row],[GER_Primary_Total]],tblMain[[#This Row],[GER_Upper_Primary_Total]],tblMain[[#This Row],[GER_Secondary_Total]],tblMain[[#This Row],[GER_HrSecondary_Girls]]),"NULL")</f>
        <v>94.549999999999983</v>
      </c>
      <c r="AD21">
        <v>100</v>
      </c>
      <c r="AE21">
        <v>95.8</v>
      </c>
      <c r="AF21">
        <v>100</v>
      </c>
      <c r="AG21">
        <v>100</v>
      </c>
    </row>
    <row r="22" spans="1:33" x14ac:dyDescent="0.35">
      <c r="A22" t="s">
        <v>41</v>
      </c>
      <c r="B22" t="s">
        <v>36</v>
      </c>
      <c r="C22" t="s">
        <v>33</v>
      </c>
      <c r="D22" t="s">
        <v>33</v>
      </c>
      <c r="E22" t="s">
        <v>33</v>
      </c>
      <c r="F22" t="s">
        <v>33</v>
      </c>
      <c r="G22" t="s">
        <v>33</v>
      </c>
      <c r="H22" t="s">
        <v>33</v>
      </c>
      <c r="I22" t="s">
        <v>33</v>
      </c>
      <c r="J22" t="s">
        <v>33</v>
      </c>
      <c r="K22" t="s">
        <v>33</v>
      </c>
      <c r="L22" t="s">
        <v>33</v>
      </c>
      <c r="M22" t="s">
        <v>33</v>
      </c>
      <c r="N22" t="s">
        <v>33</v>
      </c>
      <c r="O22" s="3" t="str">
        <f>IFERROR(AVERAGE(tblMain[[#This Row],[Primary_Total]],tblMain[[#This Row],[Upper_Primary_Total]],tblMain[[#This Row],[Secondary_Total]],tblMain[[#This Row],[HrSecondary_Total]]), "NULL")</f>
        <v>NULL</v>
      </c>
      <c r="P22">
        <v>77.400000000000006</v>
      </c>
      <c r="Q22">
        <v>86.6</v>
      </c>
      <c r="R22">
        <v>81.400000000000006</v>
      </c>
      <c r="S22">
        <v>90.4</v>
      </c>
      <c r="T22">
        <v>102.4</v>
      </c>
      <c r="U22">
        <v>95.5</v>
      </c>
      <c r="V22">
        <v>85.2</v>
      </c>
      <c r="W22">
        <v>89.8</v>
      </c>
      <c r="X22">
        <v>87.2</v>
      </c>
      <c r="Y22">
        <v>80.900000000000006</v>
      </c>
      <c r="Z22">
        <v>86.8</v>
      </c>
      <c r="AA22">
        <v>83.3</v>
      </c>
      <c r="AB22">
        <v>100</v>
      </c>
      <c r="AC22" s="3">
        <f>IFERROR(AVERAGE(tblMain[[#This Row],[GER_Primary_Total]],tblMain[[#This Row],[GER_Upper_Primary_Total]],tblMain[[#This Row],[GER_Secondary_Total]],tblMain[[#This Row],[GER_HrSecondary_Girls]]),"NULL")</f>
        <v>87.725000000000009</v>
      </c>
      <c r="AD22">
        <v>100</v>
      </c>
      <c r="AE22">
        <v>94.5</v>
      </c>
      <c r="AF22">
        <v>100</v>
      </c>
      <c r="AG22">
        <v>100</v>
      </c>
    </row>
    <row r="23" spans="1:33" x14ac:dyDescent="0.35">
      <c r="A23" t="s">
        <v>41</v>
      </c>
      <c r="B23" t="s">
        <v>35</v>
      </c>
      <c r="C23" t="s">
        <v>33</v>
      </c>
      <c r="D23" t="s">
        <v>33</v>
      </c>
      <c r="E23" t="s">
        <v>33</v>
      </c>
      <c r="F23" t="s">
        <v>33</v>
      </c>
      <c r="G23" t="s">
        <v>33</v>
      </c>
      <c r="H23" t="s">
        <v>33</v>
      </c>
      <c r="I23" t="s">
        <v>33</v>
      </c>
      <c r="J23" t="s">
        <v>33</v>
      </c>
      <c r="K23" t="s">
        <v>33</v>
      </c>
      <c r="L23" t="s">
        <v>33</v>
      </c>
      <c r="M23" t="s">
        <v>33</v>
      </c>
      <c r="N23" t="s">
        <v>33</v>
      </c>
      <c r="O23" s="3" t="str">
        <f>IFERROR(AVERAGE(tblMain[[#This Row],[Primary_Total]],tblMain[[#This Row],[Upper_Primary_Total]],tblMain[[#This Row],[Secondary_Total]],tblMain[[#This Row],[HrSecondary_Total]]), "NULL")</f>
        <v>NULL</v>
      </c>
      <c r="P23">
        <v>83.6</v>
      </c>
      <c r="Q23">
        <v>91.5</v>
      </c>
      <c r="R23">
        <v>87.1</v>
      </c>
      <c r="S23">
        <v>94.7</v>
      </c>
      <c r="T23">
        <v>103.2</v>
      </c>
      <c r="U23">
        <v>98.3</v>
      </c>
      <c r="V23">
        <v>89.1</v>
      </c>
      <c r="W23">
        <v>90.5</v>
      </c>
      <c r="X23">
        <v>89.7</v>
      </c>
      <c r="Y23">
        <v>90.1</v>
      </c>
      <c r="Z23">
        <v>91.3</v>
      </c>
      <c r="AA23">
        <v>90.6</v>
      </c>
      <c r="AB23">
        <v>100</v>
      </c>
      <c r="AC23" s="3">
        <f>IFERROR(AVERAGE(tblMain[[#This Row],[GER_Primary_Total]],tblMain[[#This Row],[GER_Upper_Primary_Total]],tblMain[[#This Row],[GER_Secondary_Total]],tblMain[[#This Row],[GER_HrSecondary_Girls]]),"NULL")</f>
        <v>91.6</v>
      </c>
      <c r="AD23">
        <v>100</v>
      </c>
      <c r="AE23">
        <v>95.4</v>
      </c>
      <c r="AF23">
        <v>100</v>
      </c>
      <c r="AG23">
        <v>100</v>
      </c>
    </row>
    <row r="24" spans="1:33" x14ac:dyDescent="0.35">
      <c r="A24" t="s">
        <v>42</v>
      </c>
      <c r="B24" t="s">
        <v>35</v>
      </c>
      <c r="C24">
        <v>3.1</v>
      </c>
      <c r="D24">
        <v>2.7</v>
      </c>
      <c r="E24">
        <v>2.9</v>
      </c>
      <c r="F24">
        <v>6.5</v>
      </c>
      <c r="G24">
        <v>5.2</v>
      </c>
      <c r="H24">
        <v>5.9</v>
      </c>
      <c r="I24">
        <v>22.6</v>
      </c>
      <c r="J24">
        <v>19.899999999999999</v>
      </c>
      <c r="K24">
        <v>21.3</v>
      </c>
      <c r="L24">
        <v>1.4</v>
      </c>
      <c r="M24">
        <v>4.0999999999999996</v>
      </c>
      <c r="N24">
        <v>2.8</v>
      </c>
      <c r="O24" s="3">
        <f>IFERROR(AVERAGE(tblMain[[#This Row],[Primary_Total]],tblMain[[#This Row],[Upper_Primary_Total]],tblMain[[#This Row],[Secondary_Total]],tblMain[[#This Row],[HrSecondary_Total]]), "NULL")</f>
        <v>8.2249999999999996</v>
      </c>
      <c r="P24">
        <v>103.3</v>
      </c>
      <c r="Q24">
        <v>102.9</v>
      </c>
      <c r="R24">
        <v>103.1</v>
      </c>
      <c r="S24">
        <v>100.9</v>
      </c>
      <c r="T24">
        <v>101.6</v>
      </c>
      <c r="U24">
        <v>101.2</v>
      </c>
      <c r="V24">
        <v>100.3</v>
      </c>
      <c r="W24">
        <v>103.4</v>
      </c>
      <c r="X24">
        <v>101.8</v>
      </c>
      <c r="Y24">
        <v>64.099999999999994</v>
      </c>
      <c r="Z24">
        <v>62.6</v>
      </c>
      <c r="AA24">
        <v>63.3</v>
      </c>
      <c r="AB24">
        <v>76.099999999999994</v>
      </c>
      <c r="AC24" s="3">
        <f>IFERROR(AVERAGE(tblMain[[#This Row],[GER_Primary_Total]],tblMain[[#This Row],[GER_Upper_Primary_Total]],tblMain[[#This Row],[GER_Secondary_Total]],tblMain[[#This Row],[GER_HrSecondary_Girls]]),"NULL")</f>
        <v>92.175000000000011</v>
      </c>
      <c r="AD24">
        <v>92</v>
      </c>
      <c r="AE24">
        <v>11.9</v>
      </c>
      <c r="AF24">
        <v>66.900000000000006</v>
      </c>
      <c r="AG24">
        <v>97</v>
      </c>
    </row>
    <row r="25" spans="1:33" x14ac:dyDescent="0.35">
      <c r="A25" t="s">
        <v>42</v>
      </c>
      <c r="B25" t="s">
        <v>34</v>
      </c>
      <c r="C25" t="s">
        <v>33</v>
      </c>
      <c r="D25" t="s">
        <v>33</v>
      </c>
      <c r="E25" t="s">
        <v>33</v>
      </c>
      <c r="F25" t="s">
        <v>33</v>
      </c>
      <c r="G25" t="s">
        <v>33</v>
      </c>
      <c r="H25" t="s">
        <v>33</v>
      </c>
      <c r="I25" t="s">
        <v>33</v>
      </c>
      <c r="J25" t="s">
        <v>33</v>
      </c>
      <c r="K25" t="s">
        <v>33</v>
      </c>
      <c r="L25" t="s">
        <v>33</v>
      </c>
      <c r="M25" t="s">
        <v>33</v>
      </c>
      <c r="N25" t="s">
        <v>33</v>
      </c>
      <c r="O25" s="3" t="str">
        <f>IFERROR(AVERAGE(tblMain[[#This Row],[Primary_Total]],tblMain[[#This Row],[Upper_Primary_Total]],tblMain[[#This Row],[Secondary_Total]],tblMain[[#This Row],[HrSecondary_Total]]), "NULL")</f>
        <v>NULL</v>
      </c>
      <c r="P25">
        <v>104.1</v>
      </c>
      <c r="Q25">
        <v>103.9</v>
      </c>
      <c r="R25">
        <v>104</v>
      </c>
      <c r="S25">
        <v>100.4</v>
      </c>
      <c r="T25">
        <v>101.1</v>
      </c>
      <c r="U25">
        <v>100.7</v>
      </c>
      <c r="V25">
        <v>96.7</v>
      </c>
      <c r="W25">
        <v>99.3</v>
      </c>
      <c r="X25">
        <v>98</v>
      </c>
      <c r="Y25">
        <v>58.3</v>
      </c>
      <c r="Z25">
        <v>56.2</v>
      </c>
      <c r="AA25">
        <v>57.2</v>
      </c>
      <c r="AB25">
        <v>82.9</v>
      </c>
      <c r="AC25" s="3">
        <f>IFERROR(AVERAGE(tblMain[[#This Row],[GER_Primary_Total]],tblMain[[#This Row],[GER_Upper_Primary_Total]],tblMain[[#This Row],[GER_Secondary_Total]],tblMain[[#This Row],[GER_HrSecondary_Girls]]),"NULL")</f>
        <v>89.724999999999994</v>
      </c>
      <c r="AD25">
        <v>94.1</v>
      </c>
      <c r="AE25">
        <v>9.8000000000000007</v>
      </c>
      <c r="AF25">
        <v>57.3</v>
      </c>
      <c r="AG25">
        <v>95.5</v>
      </c>
    </row>
    <row r="26" spans="1:33" x14ac:dyDescent="0.35">
      <c r="A26" t="s">
        <v>42</v>
      </c>
      <c r="B26" t="s">
        <v>36</v>
      </c>
      <c r="C26" t="s">
        <v>33</v>
      </c>
      <c r="D26" t="s">
        <v>33</v>
      </c>
      <c r="E26" t="s">
        <v>33</v>
      </c>
      <c r="F26" t="s">
        <v>33</v>
      </c>
      <c r="G26" t="s">
        <v>33</v>
      </c>
      <c r="H26" t="s">
        <v>33</v>
      </c>
      <c r="I26" t="s">
        <v>33</v>
      </c>
      <c r="J26" t="s">
        <v>33</v>
      </c>
      <c r="K26" t="s">
        <v>33</v>
      </c>
      <c r="L26" t="s">
        <v>33</v>
      </c>
      <c r="M26" t="s">
        <v>33</v>
      </c>
      <c r="N26" t="s">
        <v>33</v>
      </c>
      <c r="O26" s="3" t="str">
        <f>IFERROR(AVERAGE(tblMain[[#This Row],[Primary_Total]],tblMain[[#This Row],[Upper_Primary_Total]],tblMain[[#This Row],[Secondary_Total]],tblMain[[#This Row],[HrSecondary_Total]]), "NULL")</f>
        <v>NULL</v>
      </c>
      <c r="P26">
        <v>100.2</v>
      </c>
      <c r="Q26">
        <v>99.9</v>
      </c>
      <c r="R26">
        <v>100</v>
      </c>
      <c r="S26">
        <v>101.6</v>
      </c>
      <c r="T26">
        <v>103.1</v>
      </c>
      <c r="U26">
        <v>102.3</v>
      </c>
      <c r="V26">
        <v>89.4</v>
      </c>
      <c r="W26">
        <v>94.5</v>
      </c>
      <c r="X26">
        <v>91.9</v>
      </c>
      <c r="Y26">
        <v>53.9</v>
      </c>
      <c r="Z26">
        <v>54.1</v>
      </c>
      <c r="AA26">
        <v>54</v>
      </c>
      <c r="AB26">
        <v>98.5</v>
      </c>
      <c r="AC26" s="3">
        <f>IFERROR(AVERAGE(tblMain[[#This Row],[GER_Primary_Total]],tblMain[[#This Row],[GER_Upper_Primary_Total]],tblMain[[#This Row],[GER_Secondary_Total]],tblMain[[#This Row],[GER_HrSecondary_Girls]]),"NULL")</f>
        <v>87.075000000000017</v>
      </c>
      <c r="AD26">
        <v>99.2</v>
      </c>
      <c r="AE26">
        <v>12.7</v>
      </c>
      <c r="AF26">
        <v>72.7</v>
      </c>
      <c r="AG26">
        <v>99.1</v>
      </c>
    </row>
    <row r="27" spans="1:33" x14ac:dyDescent="0.35">
      <c r="A27" t="s">
        <v>43</v>
      </c>
      <c r="B27" t="s">
        <v>34</v>
      </c>
      <c r="C27">
        <v>1.1000000000000001</v>
      </c>
      <c r="D27">
        <v>2.2000000000000002</v>
      </c>
      <c r="E27">
        <v>1.6</v>
      </c>
      <c r="F27">
        <v>3.3</v>
      </c>
      <c r="G27">
        <v>5.0999999999999996</v>
      </c>
      <c r="H27">
        <v>4.0999999999999996</v>
      </c>
      <c r="I27">
        <v>30</v>
      </c>
      <c r="J27">
        <v>26.8</v>
      </c>
      <c r="K27">
        <v>28.6</v>
      </c>
      <c r="L27">
        <v>7.1</v>
      </c>
      <c r="M27">
        <v>5.3</v>
      </c>
      <c r="N27">
        <v>6.2</v>
      </c>
      <c r="O27" s="3">
        <f>IFERROR(AVERAGE(tblMain[[#This Row],[Primary_Total]],tblMain[[#This Row],[Upper_Primary_Total]],tblMain[[#This Row],[Secondary_Total]],tblMain[[#This Row],[HrSecondary_Total]]), "NULL")</f>
        <v>10.125</v>
      </c>
      <c r="P27">
        <v>89.5</v>
      </c>
      <c r="Q27">
        <v>81.900000000000006</v>
      </c>
      <c r="R27">
        <v>85.8</v>
      </c>
      <c r="S27">
        <v>100.8</v>
      </c>
      <c r="T27">
        <v>91.4</v>
      </c>
      <c r="U27">
        <v>96.2</v>
      </c>
      <c r="V27">
        <v>87.8</v>
      </c>
      <c r="W27">
        <v>79.099999999999994</v>
      </c>
      <c r="X27">
        <v>83.7</v>
      </c>
      <c r="Y27">
        <v>37.799999999999997</v>
      </c>
      <c r="Z27">
        <v>42</v>
      </c>
      <c r="AA27">
        <v>39.6</v>
      </c>
      <c r="AB27">
        <v>85.5</v>
      </c>
      <c r="AC27" s="3">
        <f>IFERROR(AVERAGE(tblMain[[#This Row],[GER_Primary_Total]],tblMain[[#This Row],[GER_Upper_Primary_Total]],tblMain[[#This Row],[GER_Secondary_Total]],tblMain[[#This Row],[GER_HrSecondary_Girls]]),"NULL")</f>
        <v>76.924999999999997</v>
      </c>
      <c r="AD27">
        <v>94.4</v>
      </c>
      <c r="AE27">
        <v>38.200000000000003</v>
      </c>
      <c r="AF27">
        <v>96.8</v>
      </c>
      <c r="AG27">
        <v>100</v>
      </c>
    </row>
    <row r="28" spans="1:33" x14ac:dyDescent="0.35">
      <c r="A28" t="s">
        <v>43</v>
      </c>
      <c r="B28" t="s">
        <v>35</v>
      </c>
      <c r="C28">
        <v>1.6</v>
      </c>
      <c r="D28">
        <v>1.3</v>
      </c>
      <c r="E28">
        <v>1.5</v>
      </c>
      <c r="F28">
        <v>3.7</v>
      </c>
      <c r="G28">
        <v>4.4000000000000004</v>
      </c>
      <c r="H28">
        <v>4</v>
      </c>
      <c r="I28">
        <v>18.2</v>
      </c>
      <c r="J28">
        <v>15.1</v>
      </c>
      <c r="K28">
        <v>16.8</v>
      </c>
      <c r="L28">
        <v>13.5</v>
      </c>
      <c r="M28">
        <v>4.8</v>
      </c>
      <c r="N28">
        <v>9.5</v>
      </c>
      <c r="O28" s="3">
        <f>IFERROR(AVERAGE(tblMain[[#This Row],[Primary_Total]],tblMain[[#This Row],[Upper_Primary_Total]],tblMain[[#This Row],[Secondary_Total]],tblMain[[#This Row],[HrSecondary_Total]]), "NULL")</f>
        <v>7.95</v>
      </c>
      <c r="P28">
        <v>85.4</v>
      </c>
      <c r="Q28">
        <v>78.8</v>
      </c>
      <c r="R28">
        <v>82.2</v>
      </c>
      <c r="S28">
        <v>97.2</v>
      </c>
      <c r="T28">
        <v>88.4</v>
      </c>
      <c r="U28">
        <v>92.9</v>
      </c>
      <c r="V28">
        <v>91.1</v>
      </c>
      <c r="W28">
        <v>84.7</v>
      </c>
      <c r="X28">
        <v>88.1</v>
      </c>
      <c r="Y28">
        <v>35.6</v>
      </c>
      <c r="Z28">
        <v>40.4</v>
      </c>
      <c r="AA28">
        <v>37.700000000000003</v>
      </c>
      <c r="AB28">
        <v>95.3</v>
      </c>
      <c r="AC28" s="3">
        <f>IFERROR(AVERAGE(tblMain[[#This Row],[GER_Primary_Total]],tblMain[[#This Row],[GER_Upper_Primary_Total]],tblMain[[#This Row],[GER_Secondary_Total]],tblMain[[#This Row],[GER_HrSecondary_Girls]]),"NULL")</f>
        <v>75.900000000000006</v>
      </c>
      <c r="AD28">
        <v>99.1</v>
      </c>
      <c r="AE28">
        <v>40.1</v>
      </c>
      <c r="AF28">
        <v>98.6</v>
      </c>
      <c r="AG28">
        <v>100</v>
      </c>
    </row>
    <row r="29" spans="1:33" x14ac:dyDescent="0.35">
      <c r="A29" t="s">
        <v>43</v>
      </c>
      <c r="B29" t="s">
        <v>36</v>
      </c>
      <c r="C29" t="s">
        <v>33</v>
      </c>
      <c r="D29" t="s">
        <v>33</v>
      </c>
      <c r="E29" t="s">
        <v>33</v>
      </c>
      <c r="F29" t="s">
        <v>33</v>
      </c>
      <c r="G29" t="s">
        <v>33</v>
      </c>
      <c r="H29" t="s">
        <v>33</v>
      </c>
      <c r="I29" t="s">
        <v>33</v>
      </c>
      <c r="J29" t="s">
        <v>33</v>
      </c>
      <c r="K29" t="s">
        <v>33</v>
      </c>
      <c r="L29" t="s">
        <v>33</v>
      </c>
      <c r="M29" t="s">
        <v>33</v>
      </c>
      <c r="N29" t="s">
        <v>33</v>
      </c>
      <c r="O29" s="3" t="str">
        <f>IFERROR(AVERAGE(tblMain[[#This Row],[Primary_Total]],tblMain[[#This Row],[Upper_Primary_Total]],tblMain[[#This Row],[Secondary_Total]],tblMain[[#This Row],[HrSecondary_Total]]), "NULL")</f>
        <v>NULL</v>
      </c>
      <c r="P29">
        <v>84.7</v>
      </c>
      <c r="Q29">
        <v>80.2</v>
      </c>
      <c r="R29">
        <v>82.5</v>
      </c>
      <c r="S29">
        <v>93.7</v>
      </c>
      <c r="T29">
        <v>88</v>
      </c>
      <c r="U29">
        <v>91</v>
      </c>
      <c r="V29">
        <v>91.6</v>
      </c>
      <c r="W29">
        <v>85.2</v>
      </c>
      <c r="X29">
        <v>88.6</v>
      </c>
      <c r="Y29">
        <v>45.3</v>
      </c>
      <c r="Z29">
        <v>52.6</v>
      </c>
      <c r="AA29">
        <v>48.5</v>
      </c>
      <c r="AB29">
        <v>100</v>
      </c>
      <c r="AC29" s="3">
        <f>IFERROR(AVERAGE(tblMain[[#This Row],[GER_Primary_Total]],tblMain[[#This Row],[GER_Upper_Primary_Total]],tblMain[[#This Row],[GER_Secondary_Total]],tblMain[[#This Row],[GER_HrSecondary_Girls]]),"NULL")</f>
        <v>78.675000000000011</v>
      </c>
      <c r="AD29">
        <v>100</v>
      </c>
      <c r="AE29">
        <v>42.7</v>
      </c>
      <c r="AF29">
        <v>100</v>
      </c>
      <c r="AG29">
        <v>100</v>
      </c>
    </row>
    <row r="30" spans="1:33" x14ac:dyDescent="0.35">
      <c r="A30" t="s">
        <v>44</v>
      </c>
      <c r="B30" t="s">
        <v>34</v>
      </c>
      <c r="C30">
        <v>1.1000000000000001</v>
      </c>
      <c r="D30">
        <v>0.6</v>
      </c>
      <c r="E30">
        <v>0.9</v>
      </c>
      <c r="F30">
        <v>3.4</v>
      </c>
      <c r="G30">
        <v>3.7</v>
      </c>
      <c r="H30">
        <v>3.6</v>
      </c>
      <c r="I30">
        <v>19.5</v>
      </c>
      <c r="J30">
        <v>20.3</v>
      </c>
      <c r="K30">
        <v>19.899999999999999</v>
      </c>
      <c r="L30">
        <v>14.5</v>
      </c>
      <c r="M30">
        <v>4.9000000000000004</v>
      </c>
      <c r="N30">
        <v>9.9</v>
      </c>
      <c r="O30" s="3">
        <f>IFERROR(AVERAGE(tblMain[[#This Row],[Primary_Total]],tblMain[[#This Row],[Upper_Primary_Total]],tblMain[[#This Row],[Secondary_Total]],tblMain[[#This Row],[HrSecondary_Total]]), "NULL")</f>
        <v>8.5749999999999993</v>
      </c>
      <c r="P30">
        <v>87.8</v>
      </c>
      <c r="Q30">
        <v>89.8</v>
      </c>
      <c r="R30">
        <v>88.7</v>
      </c>
      <c r="S30">
        <v>84.1</v>
      </c>
      <c r="T30">
        <v>90.6</v>
      </c>
      <c r="U30">
        <v>87</v>
      </c>
      <c r="V30">
        <v>67.900000000000006</v>
      </c>
      <c r="W30">
        <v>82.2</v>
      </c>
      <c r="X30">
        <v>73.900000000000006</v>
      </c>
      <c r="Y30">
        <v>34.4</v>
      </c>
      <c r="Z30">
        <v>64.599999999999994</v>
      </c>
      <c r="AA30">
        <v>44.4</v>
      </c>
      <c r="AB30">
        <v>100</v>
      </c>
      <c r="AC30" s="3">
        <f>IFERROR(AVERAGE(tblMain[[#This Row],[GER_Primary_Total]],tblMain[[#This Row],[GER_Upper_Primary_Total]],tblMain[[#This Row],[GER_Secondary_Total]],tblMain[[#This Row],[GER_HrSecondary_Girls]]),"NULL")</f>
        <v>78.55</v>
      </c>
      <c r="AD30">
        <v>100</v>
      </c>
      <c r="AE30">
        <v>61.1</v>
      </c>
      <c r="AF30">
        <v>100</v>
      </c>
      <c r="AG30">
        <v>100</v>
      </c>
    </row>
    <row r="31" spans="1:33" x14ac:dyDescent="0.35">
      <c r="A31" t="s">
        <v>44</v>
      </c>
      <c r="B31" t="s">
        <v>35</v>
      </c>
      <c r="C31">
        <v>1.8</v>
      </c>
      <c r="D31">
        <v>0.3</v>
      </c>
      <c r="E31">
        <v>1.1000000000000001</v>
      </c>
      <c r="F31">
        <v>3.1</v>
      </c>
      <c r="G31">
        <v>3.1</v>
      </c>
      <c r="H31">
        <v>3.1</v>
      </c>
      <c r="I31">
        <v>34.5</v>
      </c>
      <c r="J31">
        <v>29.7</v>
      </c>
      <c r="K31">
        <v>32.299999999999997</v>
      </c>
      <c r="L31">
        <v>44.4</v>
      </c>
      <c r="M31">
        <v>36.1</v>
      </c>
      <c r="N31">
        <v>40.5</v>
      </c>
      <c r="O31" s="3">
        <f>IFERROR(AVERAGE(tblMain[[#This Row],[Primary_Total]],tblMain[[#This Row],[Upper_Primary_Total]],tblMain[[#This Row],[Secondary_Total]],tblMain[[#This Row],[HrSecondary_Total]]), "NULL")</f>
        <v>19.25</v>
      </c>
      <c r="P31">
        <v>83.9</v>
      </c>
      <c r="Q31">
        <v>87.4</v>
      </c>
      <c r="R31">
        <v>85.5</v>
      </c>
      <c r="S31">
        <v>80.3</v>
      </c>
      <c r="T31">
        <v>88.1</v>
      </c>
      <c r="U31">
        <v>83.7</v>
      </c>
      <c r="V31">
        <v>68.7</v>
      </c>
      <c r="W31">
        <v>83.6</v>
      </c>
      <c r="X31">
        <v>74.900000000000006</v>
      </c>
      <c r="Y31">
        <v>28.5</v>
      </c>
      <c r="Z31">
        <v>56</v>
      </c>
      <c r="AA31">
        <v>37.5</v>
      </c>
      <c r="AB31">
        <v>100</v>
      </c>
      <c r="AC31" s="3">
        <f>IFERROR(AVERAGE(tblMain[[#This Row],[GER_Primary_Total]],tblMain[[#This Row],[GER_Upper_Primary_Total]],tblMain[[#This Row],[GER_Secondary_Total]],tblMain[[#This Row],[GER_HrSecondary_Girls]]),"NULL")</f>
        <v>75.025000000000006</v>
      </c>
      <c r="AD31">
        <v>100</v>
      </c>
      <c r="AE31">
        <v>66.2</v>
      </c>
      <c r="AF31">
        <v>100</v>
      </c>
      <c r="AG31">
        <v>100</v>
      </c>
    </row>
    <row r="32" spans="1:33" x14ac:dyDescent="0.35">
      <c r="A32" t="s">
        <v>44</v>
      </c>
      <c r="B32" t="s">
        <v>36</v>
      </c>
      <c r="C32" t="s">
        <v>33</v>
      </c>
      <c r="D32" t="s">
        <v>33</v>
      </c>
      <c r="E32" t="s">
        <v>33</v>
      </c>
      <c r="F32" t="s">
        <v>33</v>
      </c>
      <c r="G32" t="s">
        <v>33</v>
      </c>
      <c r="H32" t="s">
        <v>33</v>
      </c>
      <c r="I32" t="s">
        <v>33</v>
      </c>
      <c r="J32" t="s">
        <v>33</v>
      </c>
      <c r="K32" t="s">
        <v>33</v>
      </c>
      <c r="L32" t="s">
        <v>33</v>
      </c>
      <c r="M32" t="s">
        <v>33</v>
      </c>
      <c r="N32" t="s">
        <v>33</v>
      </c>
      <c r="O32" s="3" t="str">
        <f>IFERROR(AVERAGE(tblMain[[#This Row],[Primary_Total]],tblMain[[#This Row],[Upper_Primary_Total]],tblMain[[#This Row],[Secondary_Total]],tblMain[[#This Row],[HrSecondary_Total]]), "NULL")</f>
        <v>NULL</v>
      </c>
      <c r="P32">
        <v>79.7</v>
      </c>
      <c r="Q32">
        <v>85</v>
      </c>
      <c r="R32">
        <v>82</v>
      </c>
      <c r="S32">
        <v>74.900000000000006</v>
      </c>
      <c r="T32">
        <v>84.6</v>
      </c>
      <c r="U32">
        <v>79.2</v>
      </c>
      <c r="V32">
        <v>67.099999999999994</v>
      </c>
      <c r="W32">
        <v>81.400000000000006</v>
      </c>
      <c r="X32">
        <v>73</v>
      </c>
      <c r="Y32">
        <v>16.3</v>
      </c>
      <c r="Z32">
        <v>32.299999999999997</v>
      </c>
      <c r="AA32">
        <v>21.5</v>
      </c>
      <c r="AB32">
        <v>100</v>
      </c>
      <c r="AC32" s="3">
        <f>IFERROR(AVERAGE(tblMain[[#This Row],[GER_Primary_Total]],tblMain[[#This Row],[GER_Upper_Primary_Total]],tblMain[[#This Row],[GER_Secondary_Total]],tblMain[[#This Row],[GER_HrSecondary_Girls]]),"NULL")</f>
        <v>66.625</v>
      </c>
      <c r="AD32">
        <v>100</v>
      </c>
      <c r="AE32">
        <v>64.099999999999994</v>
      </c>
      <c r="AF32">
        <v>100</v>
      </c>
      <c r="AG32">
        <v>100</v>
      </c>
    </row>
    <row r="33" spans="1:33" x14ac:dyDescent="0.35">
      <c r="A33" t="s">
        <v>45</v>
      </c>
      <c r="B33" t="s">
        <v>34</v>
      </c>
      <c r="C33" t="s">
        <v>33</v>
      </c>
      <c r="D33" t="s">
        <v>33</v>
      </c>
      <c r="E33" t="s">
        <v>33</v>
      </c>
      <c r="F33" t="s">
        <v>33</v>
      </c>
      <c r="G33" t="s">
        <v>33</v>
      </c>
      <c r="H33" t="s">
        <v>33</v>
      </c>
      <c r="I33" t="s">
        <v>33</v>
      </c>
      <c r="J33" t="s">
        <v>33</v>
      </c>
      <c r="K33" t="s">
        <v>33</v>
      </c>
      <c r="L33" t="s">
        <v>33</v>
      </c>
      <c r="M33" t="s">
        <v>33</v>
      </c>
      <c r="N33" t="s">
        <v>33</v>
      </c>
      <c r="O33" s="3" t="str">
        <f>IFERROR(AVERAGE(tblMain[[#This Row],[Primary_Total]],tblMain[[#This Row],[Upper_Primary_Total]],tblMain[[#This Row],[Secondary_Total]],tblMain[[#This Row],[HrSecondary_Total]]), "NULL")</f>
        <v>NULL</v>
      </c>
      <c r="P33">
        <v>108.8</v>
      </c>
      <c r="Q33">
        <v>113</v>
      </c>
      <c r="R33">
        <v>110.7</v>
      </c>
      <c r="S33">
        <v>117.8</v>
      </c>
      <c r="T33">
        <v>129.5</v>
      </c>
      <c r="U33">
        <v>122.9</v>
      </c>
      <c r="V33">
        <v>102</v>
      </c>
      <c r="W33">
        <v>102.9</v>
      </c>
      <c r="X33">
        <v>102.4</v>
      </c>
      <c r="Y33">
        <v>98.9</v>
      </c>
      <c r="Z33">
        <v>102.3</v>
      </c>
      <c r="AA33">
        <v>100.4</v>
      </c>
      <c r="AB33">
        <v>100</v>
      </c>
      <c r="AC33" s="3">
        <f>IFERROR(AVERAGE(tblMain[[#This Row],[GER_Primary_Total]],tblMain[[#This Row],[GER_Upper_Primary_Total]],tblMain[[#This Row],[GER_Secondary_Total]],tblMain[[#This Row],[GER_HrSecondary_Girls]]),"NULL")</f>
        <v>109.575</v>
      </c>
      <c r="AD33">
        <v>100</v>
      </c>
      <c r="AE33">
        <v>81.599999999999994</v>
      </c>
      <c r="AF33">
        <v>100</v>
      </c>
      <c r="AG33">
        <v>100</v>
      </c>
    </row>
    <row r="34" spans="1:33" x14ac:dyDescent="0.35">
      <c r="A34" t="s">
        <v>45</v>
      </c>
      <c r="B34" t="s">
        <v>36</v>
      </c>
      <c r="C34" t="s">
        <v>33</v>
      </c>
      <c r="D34" t="s">
        <v>33</v>
      </c>
      <c r="E34" t="s">
        <v>33</v>
      </c>
      <c r="F34" t="s">
        <v>33</v>
      </c>
      <c r="G34" t="s">
        <v>33</v>
      </c>
      <c r="H34" t="s">
        <v>33</v>
      </c>
      <c r="I34" t="s">
        <v>33</v>
      </c>
      <c r="J34" t="s">
        <v>33</v>
      </c>
      <c r="K34" t="s">
        <v>33</v>
      </c>
      <c r="L34" t="s">
        <v>33</v>
      </c>
      <c r="M34" t="s">
        <v>33</v>
      </c>
      <c r="N34" t="s">
        <v>33</v>
      </c>
      <c r="O34" s="3" t="str">
        <f>IFERROR(AVERAGE(tblMain[[#This Row],[Primary_Total]],tblMain[[#This Row],[Upper_Primary_Total]],tblMain[[#This Row],[Secondary_Total]],tblMain[[#This Row],[HrSecondary_Total]]), "NULL")</f>
        <v>NULL</v>
      </c>
      <c r="P34">
        <v>108</v>
      </c>
      <c r="Q34">
        <v>113.9</v>
      </c>
      <c r="R34">
        <v>110.7</v>
      </c>
      <c r="S34">
        <v>118.9</v>
      </c>
      <c r="T34">
        <v>140.6</v>
      </c>
      <c r="U34">
        <v>128.1</v>
      </c>
      <c r="V34">
        <v>103.2</v>
      </c>
      <c r="W34">
        <v>111.3</v>
      </c>
      <c r="X34">
        <v>106.8</v>
      </c>
      <c r="Y34">
        <v>73.3</v>
      </c>
      <c r="Z34">
        <v>83.6</v>
      </c>
      <c r="AA34">
        <v>77.900000000000006</v>
      </c>
      <c r="AB34">
        <v>100</v>
      </c>
      <c r="AC34" s="3">
        <f>IFERROR(AVERAGE(tblMain[[#This Row],[GER_Primary_Total]],tblMain[[#This Row],[GER_Upper_Primary_Total]],tblMain[[#This Row],[GER_Secondary_Total]],tblMain[[#This Row],[GER_HrSecondary_Girls]]),"NULL")</f>
        <v>107.30000000000001</v>
      </c>
      <c r="AD34">
        <v>100</v>
      </c>
      <c r="AE34">
        <v>83.9</v>
      </c>
      <c r="AF34">
        <v>100</v>
      </c>
      <c r="AG34">
        <v>100</v>
      </c>
    </row>
    <row r="35" spans="1:33" x14ac:dyDescent="0.35">
      <c r="A35" t="s">
        <v>45</v>
      </c>
      <c r="B35" t="s">
        <v>35</v>
      </c>
      <c r="C35" t="s">
        <v>33</v>
      </c>
      <c r="D35" t="s">
        <v>33</v>
      </c>
      <c r="E35" t="s">
        <v>33</v>
      </c>
      <c r="F35" t="s">
        <v>33</v>
      </c>
      <c r="G35" t="s">
        <v>33</v>
      </c>
      <c r="H35" t="s">
        <v>33</v>
      </c>
      <c r="I35" t="s">
        <v>33</v>
      </c>
      <c r="J35" t="s">
        <v>33</v>
      </c>
      <c r="K35" t="s">
        <v>33</v>
      </c>
      <c r="L35" t="s">
        <v>33</v>
      </c>
      <c r="M35" t="s">
        <v>33</v>
      </c>
      <c r="N35" t="s">
        <v>33</v>
      </c>
      <c r="O35" s="3" t="str">
        <f>IFERROR(AVERAGE(tblMain[[#This Row],[Primary_Total]],tblMain[[#This Row],[Upper_Primary_Total]],tblMain[[#This Row],[Secondary_Total]],tblMain[[#This Row],[HrSecondary_Total]]), "NULL")</f>
        <v>NULL</v>
      </c>
      <c r="P35">
        <v>109.4</v>
      </c>
      <c r="Q35">
        <v>114.6</v>
      </c>
      <c r="R35">
        <v>111.8</v>
      </c>
      <c r="S35">
        <v>118.1</v>
      </c>
      <c r="T35">
        <v>134.6</v>
      </c>
      <c r="U35">
        <v>125.2</v>
      </c>
      <c r="V35">
        <v>101.6</v>
      </c>
      <c r="W35">
        <v>106</v>
      </c>
      <c r="X35">
        <v>103.6</v>
      </c>
      <c r="Y35">
        <v>89.5</v>
      </c>
      <c r="Z35">
        <v>94.2</v>
      </c>
      <c r="AA35">
        <v>91.6</v>
      </c>
      <c r="AB35">
        <v>100</v>
      </c>
      <c r="AC35" s="3">
        <f>IFERROR(AVERAGE(tblMain[[#This Row],[GER_Primary_Total]],tblMain[[#This Row],[GER_Upper_Primary_Total]],tblMain[[#This Row],[GER_Secondary_Total]],tblMain[[#This Row],[GER_HrSecondary_Girls]]),"NULL")</f>
        <v>108.7</v>
      </c>
      <c r="AD35">
        <v>100</v>
      </c>
      <c r="AE35">
        <v>81</v>
      </c>
      <c r="AF35">
        <v>100</v>
      </c>
      <c r="AG35">
        <v>100</v>
      </c>
    </row>
    <row r="36" spans="1:33" x14ac:dyDescent="0.35">
      <c r="A36" t="s">
        <v>46</v>
      </c>
      <c r="B36" t="s">
        <v>35</v>
      </c>
      <c r="C36">
        <v>0.6</v>
      </c>
      <c r="D36">
        <v>0.8</v>
      </c>
      <c r="E36">
        <v>0.7</v>
      </c>
      <c r="F36">
        <v>3.6</v>
      </c>
      <c r="G36">
        <v>0.2</v>
      </c>
      <c r="H36">
        <v>0.1</v>
      </c>
      <c r="I36">
        <v>14.2</v>
      </c>
      <c r="J36">
        <v>7.7</v>
      </c>
      <c r="K36">
        <v>11.2</v>
      </c>
      <c r="L36">
        <v>18.3</v>
      </c>
      <c r="M36">
        <v>9.4</v>
      </c>
      <c r="N36">
        <v>13.9</v>
      </c>
      <c r="O36" s="3">
        <f>IFERROR(AVERAGE(tblMain[[#This Row],[Primary_Total]],tblMain[[#This Row],[Upper_Primary_Total]],tblMain[[#This Row],[Secondary_Total]],tblMain[[#This Row],[HrSecondary_Total]]), "NULL")</f>
        <v>6.4749999999999996</v>
      </c>
      <c r="P36">
        <v>103</v>
      </c>
      <c r="Q36">
        <v>105</v>
      </c>
      <c r="R36">
        <v>104</v>
      </c>
      <c r="S36">
        <v>99.2</v>
      </c>
      <c r="T36">
        <v>101.3</v>
      </c>
      <c r="U36">
        <v>100.2</v>
      </c>
      <c r="V36">
        <v>118.6</v>
      </c>
      <c r="W36">
        <v>108.1</v>
      </c>
      <c r="X36">
        <v>113.6</v>
      </c>
      <c r="Y36">
        <v>73.7</v>
      </c>
      <c r="Z36">
        <v>82.6</v>
      </c>
      <c r="AA36">
        <v>77.900000000000006</v>
      </c>
      <c r="AB36">
        <v>90.9</v>
      </c>
      <c r="AC36" s="3">
        <f>IFERROR(AVERAGE(tblMain[[#This Row],[GER_Primary_Total]],tblMain[[#This Row],[GER_Upper_Primary_Total]],tblMain[[#This Row],[GER_Secondary_Total]],tblMain[[#This Row],[GER_HrSecondary_Girls]]),"NULL")</f>
        <v>100.1</v>
      </c>
      <c r="AD36">
        <v>99.4</v>
      </c>
      <c r="AE36">
        <v>43.5</v>
      </c>
      <c r="AF36">
        <v>98.7</v>
      </c>
      <c r="AG36">
        <v>99.2</v>
      </c>
    </row>
    <row r="37" spans="1:33" x14ac:dyDescent="0.35">
      <c r="A37" t="s">
        <v>46</v>
      </c>
      <c r="B37" t="s">
        <v>34</v>
      </c>
      <c r="C37" t="s">
        <v>33</v>
      </c>
      <c r="D37" t="s">
        <v>33</v>
      </c>
      <c r="E37" t="s">
        <v>33</v>
      </c>
      <c r="F37" t="s">
        <v>33</v>
      </c>
      <c r="G37" t="s">
        <v>33</v>
      </c>
      <c r="H37" t="s">
        <v>33</v>
      </c>
      <c r="I37" t="s">
        <v>33</v>
      </c>
      <c r="J37" t="s">
        <v>33</v>
      </c>
      <c r="K37" t="s">
        <v>33</v>
      </c>
      <c r="L37" t="s">
        <v>33</v>
      </c>
      <c r="M37" t="s">
        <v>33</v>
      </c>
      <c r="N37" t="s">
        <v>33</v>
      </c>
      <c r="O37" s="3" t="str">
        <f>IFERROR(AVERAGE(tblMain[[#This Row],[Primary_Total]],tblMain[[#This Row],[Upper_Primary_Total]],tblMain[[#This Row],[Secondary_Total]],tblMain[[#This Row],[HrSecondary_Total]]), "NULL")</f>
        <v>NULL</v>
      </c>
      <c r="P37">
        <v>105</v>
      </c>
      <c r="Q37">
        <v>105.3</v>
      </c>
      <c r="R37">
        <v>105.1</v>
      </c>
      <c r="S37">
        <v>106.3</v>
      </c>
      <c r="T37">
        <v>105.2</v>
      </c>
      <c r="U37">
        <v>105.8</v>
      </c>
      <c r="V37">
        <v>110.8</v>
      </c>
      <c r="W37">
        <v>102.1</v>
      </c>
      <c r="X37">
        <v>106.7</v>
      </c>
      <c r="Y37">
        <v>68.3</v>
      </c>
      <c r="Z37">
        <v>72.400000000000006</v>
      </c>
      <c r="AA37">
        <v>70.2</v>
      </c>
      <c r="AB37">
        <v>87.1</v>
      </c>
      <c r="AC37" s="3">
        <f>IFERROR(AVERAGE(tblMain[[#This Row],[GER_Primary_Total]],tblMain[[#This Row],[GER_Upper_Primary_Total]],tblMain[[#This Row],[GER_Secondary_Total]],tblMain[[#This Row],[GER_HrSecondary_Girls]]),"NULL")</f>
        <v>97.5</v>
      </c>
      <c r="AD37">
        <v>98.3</v>
      </c>
      <c r="AE37">
        <v>40.6</v>
      </c>
      <c r="AF37">
        <v>98.2</v>
      </c>
      <c r="AG37">
        <v>98.6</v>
      </c>
    </row>
    <row r="38" spans="1:33" x14ac:dyDescent="0.35">
      <c r="A38" t="s">
        <v>46</v>
      </c>
      <c r="B38" t="s">
        <v>36</v>
      </c>
      <c r="C38" t="s">
        <v>33</v>
      </c>
      <c r="D38" t="s">
        <v>33</v>
      </c>
      <c r="E38" t="s">
        <v>33</v>
      </c>
      <c r="F38" t="s">
        <v>33</v>
      </c>
      <c r="G38" t="s">
        <v>33</v>
      </c>
      <c r="H38" t="s">
        <v>33</v>
      </c>
      <c r="I38" t="s">
        <v>33</v>
      </c>
      <c r="J38" t="s">
        <v>33</v>
      </c>
      <c r="K38" t="s">
        <v>33</v>
      </c>
      <c r="L38" t="s">
        <v>33</v>
      </c>
      <c r="M38" t="s">
        <v>33</v>
      </c>
      <c r="N38" t="s">
        <v>33</v>
      </c>
      <c r="O38" s="3" t="str">
        <f>IFERROR(AVERAGE(tblMain[[#This Row],[Primary_Total]],tblMain[[#This Row],[Upper_Primary_Total]],tblMain[[#This Row],[Secondary_Total]],tblMain[[#This Row],[HrSecondary_Total]]), "NULL")</f>
        <v>NULL</v>
      </c>
      <c r="P38">
        <v>100.9</v>
      </c>
      <c r="Q38">
        <v>104.5</v>
      </c>
      <c r="R38">
        <v>102.6</v>
      </c>
      <c r="S38">
        <v>96.8</v>
      </c>
      <c r="T38">
        <v>100.9</v>
      </c>
      <c r="U38">
        <v>98.7</v>
      </c>
      <c r="V38">
        <v>103</v>
      </c>
      <c r="W38">
        <v>105.4</v>
      </c>
      <c r="X38">
        <v>104.2</v>
      </c>
      <c r="Y38">
        <v>70.8</v>
      </c>
      <c r="Z38">
        <v>81.599999999999994</v>
      </c>
      <c r="AA38">
        <v>75.8</v>
      </c>
      <c r="AB38">
        <v>100</v>
      </c>
      <c r="AC38" s="3">
        <f>IFERROR(AVERAGE(tblMain[[#This Row],[GER_Primary_Total]],tblMain[[#This Row],[GER_Upper_Primary_Total]],tblMain[[#This Row],[GER_Secondary_Total]],tblMain[[#This Row],[GER_HrSecondary_Girls]]),"NULL")</f>
        <v>96.775000000000006</v>
      </c>
      <c r="AD38">
        <v>100</v>
      </c>
      <c r="AE38">
        <v>44.7</v>
      </c>
      <c r="AF38">
        <v>99.9</v>
      </c>
      <c r="AG38">
        <v>100</v>
      </c>
    </row>
    <row r="39" spans="1:33" x14ac:dyDescent="0.35">
      <c r="A39" t="s">
        <v>47</v>
      </c>
      <c r="B39" t="s">
        <v>32</v>
      </c>
      <c r="C39">
        <v>0.2</v>
      </c>
      <c r="D39">
        <v>1.4</v>
      </c>
      <c r="E39">
        <v>0.7</v>
      </c>
      <c r="F39">
        <v>2.8</v>
      </c>
      <c r="G39">
        <v>8.1999999999999993</v>
      </c>
      <c r="H39">
        <v>5.2</v>
      </c>
      <c r="I39">
        <v>14</v>
      </c>
      <c r="J39">
        <v>13</v>
      </c>
      <c r="K39">
        <v>13.6</v>
      </c>
      <c r="L39">
        <v>0.6</v>
      </c>
      <c r="M39">
        <v>0.3</v>
      </c>
      <c r="N39">
        <v>0.5</v>
      </c>
      <c r="O39" s="3">
        <f>IFERROR(AVERAGE(tblMain[[#This Row],[Primary_Total]],tblMain[[#This Row],[Upper_Primary_Total]],tblMain[[#This Row],[Secondary_Total]],tblMain[[#This Row],[HrSecondary_Total]]), "NULL")</f>
        <v>5</v>
      </c>
      <c r="P39" t="s">
        <v>33</v>
      </c>
      <c r="Q39" t="s">
        <v>33</v>
      </c>
      <c r="R39" t="s">
        <v>33</v>
      </c>
      <c r="S39" t="s">
        <v>33</v>
      </c>
      <c r="T39" t="s">
        <v>33</v>
      </c>
      <c r="U39" t="s">
        <v>33</v>
      </c>
      <c r="V39" t="s">
        <v>33</v>
      </c>
      <c r="W39" t="s">
        <v>33</v>
      </c>
      <c r="X39" t="s">
        <v>33</v>
      </c>
      <c r="Y39" t="s">
        <v>33</v>
      </c>
      <c r="Z39" t="s">
        <v>33</v>
      </c>
      <c r="AA39" t="s">
        <v>33</v>
      </c>
      <c r="AB39" t="s">
        <v>33</v>
      </c>
      <c r="AC39" t="str">
        <f>IFERROR(AVERAGE(tblMain[[#This Row],[GER_Primary_Total]],tblMain[[#This Row],[GER_Upper_Primary_Total]],tblMain[[#This Row],[GER_Secondary_Total]],tblMain[[#This Row],[GER_HrSecondary_Girls]]),"NULL")</f>
        <v>NULL</v>
      </c>
      <c r="AD39" t="s">
        <v>33</v>
      </c>
      <c r="AE39" t="s">
        <v>33</v>
      </c>
      <c r="AF39" t="s">
        <v>33</v>
      </c>
      <c r="AG39" t="s">
        <v>33</v>
      </c>
    </row>
    <row r="40" spans="1:33" x14ac:dyDescent="0.35">
      <c r="A40" t="s">
        <v>47</v>
      </c>
      <c r="B40" t="s">
        <v>34</v>
      </c>
      <c r="C40">
        <v>0.5</v>
      </c>
      <c r="D40">
        <v>1.1000000000000001</v>
      </c>
      <c r="E40">
        <v>0.8</v>
      </c>
      <c r="F40">
        <v>3.5</v>
      </c>
      <c r="G40">
        <v>8</v>
      </c>
      <c r="H40">
        <v>5.6</v>
      </c>
      <c r="I40">
        <v>22.9</v>
      </c>
      <c r="J40">
        <v>19.8</v>
      </c>
      <c r="K40">
        <v>21.6</v>
      </c>
      <c r="L40">
        <v>9.1</v>
      </c>
      <c r="M40">
        <v>6.2</v>
      </c>
      <c r="N40">
        <v>7.8</v>
      </c>
      <c r="O40" s="3">
        <f>IFERROR(AVERAGE(tblMain[[#This Row],[Primary_Total]],tblMain[[#This Row],[Upper_Primary_Total]],tblMain[[#This Row],[Secondary_Total]],tblMain[[#This Row],[HrSecondary_Total]]), "NULL")</f>
        <v>8.9499999999999993</v>
      </c>
      <c r="P40">
        <v>100.3</v>
      </c>
      <c r="Q40">
        <v>102.1</v>
      </c>
      <c r="R40">
        <v>101.1</v>
      </c>
      <c r="S40">
        <v>91.8</v>
      </c>
      <c r="T40">
        <v>89.7</v>
      </c>
      <c r="U40">
        <v>90.9</v>
      </c>
      <c r="V40">
        <v>81.8</v>
      </c>
      <c r="W40">
        <v>65.900000000000006</v>
      </c>
      <c r="X40">
        <v>74.5</v>
      </c>
      <c r="Y40">
        <v>53.1</v>
      </c>
      <c r="Z40">
        <v>43.3</v>
      </c>
      <c r="AA40">
        <v>48.5</v>
      </c>
      <c r="AB40">
        <v>97.8</v>
      </c>
      <c r="AC40" s="3">
        <f>IFERROR(AVERAGE(tblMain[[#This Row],[GER_Primary_Total]],tblMain[[#This Row],[GER_Upper_Primary_Total]],tblMain[[#This Row],[GER_Secondary_Total]],tblMain[[#This Row],[GER_HrSecondary_Girls]]),"NULL")</f>
        <v>77.45</v>
      </c>
      <c r="AD40">
        <v>99.8</v>
      </c>
      <c r="AE40">
        <v>72.099999999999994</v>
      </c>
      <c r="AF40">
        <v>99.7</v>
      </c>
      <c r="AG40">
        <v>100</v>
      </c>
    </row>
    <row r="41" spans="1:33" x14ac:dyDescent="0.35">
      <c r="A41" t="s">
        <v>47</v>
      </c>
      <c r="B41" t="s">
        <v>35</v>
      </c>
      <c r="C41">
        <v>0.8</v>
      </c>
      <c r="D41">
        <v>1</v>
      </c>
      <c r="E41">
        <v>0.9</v>
      </c>
      <c r="F41">
        <v>4.7</v>
      </c>
      <c r="G41">
        <v>8.5</v>
      </c>
      <c r="H41">
        <v>6.4</v>
      </c>
      <c r="I41">
        <v>26.3</v>
      </c>
      <c r="J41">
        <v>23.2</v>
      </c>
      <c r="K41">
        <v>25</v>
      </c>
      <c r="L41">
        <v>8.4</v>
      </c>
      <c r="M41">
        <v>5.3</v>
      </c>
      <c r="N41">
        <v>7</v>
      </c>
      <c r="O41" s="3">
        <f>IFERROR(AVERAGE(tblMain[[#This Row],[Primary_Total]],tblMain[[#This Row],[Upper_Primary_Total]],tblMain[[#This Row],[Secondary_Total]],tblMain[[#This Row],[HrSecondary_Total]]), "NULL")</f>
        <v>9.8249999999999993</v>
      </c>
      <c r="P41">
        <v>97.6</v>
      </c>
      <c r="Q41">
        <v>100.1</v>
      </c>
      <c r="R41">
        <v>98.7</v>
      </c>
      <c r="S41">
        <v>93.6</v>
      </c>
      <c r="T41">
        <v>93.5</v>
      </c>
      <c r="U41">
        <v>93.6</v>
      </c>
      <c r="V41">
        <v>80.8</v>
      </c>
      <c r="W41">
        <v>66.7</v>
      </c>
      <c r="X41">
        <v>74.3</v>
      </c>
      <c r="Y41">
        <v>47.4</v>
      </c>
      <c r="Z41">
        <v>42</v>
      </c>
      <c r="AA41">
        <v>44.9</v>
      </c>
      <c r="AB41">
        <v>98.6</v>
      </c>
      <c r="AC41" s="3">
        <f>IFERROR(AVERAGE(tblMain[[#This Row],[GER_Primary_Total]],tblMain[[#This Row],[GER_Upper_Primary_Total]],tblMain[[#This Row],[GER_Secondary_Total]],tblMain[[#This Row],[GER_HrSecondary_Girls]]),"NULL")</f>
        <v>77.150000000000006</v>
      </c>
      <c r="AD41">
        <v>99.8</v>
      </c>
      <c r="AE41">
        <v>75.2</v>
      </c>
      <c r="AF41">
        <v>99.7</v>
      </c>
      <c r="AG41">
        <v>99.9</v>
      </c>
    </row>
    <row r="42" spans="1:33" x14ac:dyDescent="0.35">
      <c r="A42" t="s">
        <v>47</v>
      </c>
      <c r="B42" t="s">
        <v>36</v>
      </c>
      <c r="C42" t="s">
        <v>33</v>
      </c>
      <c r="D42" t="s">
        <v>33</v>
      </c>
      <c r="E42" t="s">
        <v>33</v>
      </c>
      <c r="F42" t="s">
        <v>33</v>
      </c>
      <c r="G42" t="s">
        <v>33</v>
      </c>
      <c r="H42" t="s">
        <v>33</v>
      </c>
      <c r="I42" t="s">
        <v>33</v>
      </c>
      <c r="J42" t="s">
        <v>33</v>
      </c>
      <c r="K42" t="s">
        <v>33</v>
      </c>
      <c r="L42" t="s">
        <v>33</v>
      </c>
      <c r="M42" t="s">
        <v>33</v>
      </c>
      <c r="N42" t="s">
        <v>33</v>
      </c>
      <c r="O42" s="3" t="str">
        <f>IFERROR(AVERAGE(tblMain[[#This Row],[Primary_Total]],tblMain[[#This Row],[Upper_Primary_Total]],tblMain[[#This Row],[Secondary_Total]],tblMain[[#This Row],[HrSecondary_Total]]), "NULL")</f>
        <v>NULL</v>
      </c>
      <c r="P42">
        <v>95.6</v>
      </c>
      <c r="Q42">
        <v>99.1</v>
      </c>
      <c r="R42">
        <v>97.2</v>
      </c>
      <c r="S42">
        <v>94.7</v>
      </c>
      <c r="T42">
        <v>97</v>
      </c>
      <c r="U42">
        <v>95.7</v>
      </c>
      <c r="V42">
        <v>80.3</v>
      </c>
      <c r="W42">
        <v>66.8</v>
      </c>
      <c r="X42">
        <v>74.099999999999994</v>
      </c>
      <c r="Y42">
        <v>45.2</v>
      </c>
      <c r="Z42">
        <v>41.4</v>
      </c>
      <c r="AA42">
        <v>43.4</v>
      </c>
      <c r="AB42">
        <v>99.9</v>
      </c>
      <c r="AC42" s="3">
        <f>IFERROR(AVERAGE(tblMain[[#This Row],[GER_Primary_Total]],tblMain[[#This Row],[GER_Upper_Primary_Total]],tblMain[[#This Row],[GER_Secondary_Total]],tblMain[[#This Row],[GER_HrSecondary_Girls]]),"NULL")</f>
        <v>77.099999999999994</v>
      </c>
      <c r="AD42">
        <v>100</v>
      </c>
      <c r="AE42">
        <v>75.5</v>
      </c>
      <c r="AF42">
        <v>99.7</v>
      </c>
      <c r="AG42">
        <v>100</v>
      </c>
    </row>
    <row r="43" spans="1:33" x14ac:dyDescent="0.35">
      <c r="A43" t="s">
        <v>48</v>
      </c>
      <c r="B43" t="s">
        <v>34</v>
      </c>
      <c r="C43">
        <v>0.2</v>
      </c>
      <c r="D43">
        <v>0.6</v>
      </c>
      <c r="E43">
        <v>0.4</v>
      </c>
      <c r="F43">
        <v>2</v>
      </c>
      <c r="G43">
        <v>3.3</v>
      </c>
      <c r="H43">
        <v>2.6</v>
      </c>
      <c r="I43">
        <v>11.9</v>
      </c>
      <c r="J43">
        <v>13.3</v>
      </c>
      <c r="K43">
        <v>12.5</v>
      </c>
      <c r="L43">
        <v>1.4</v>
      </c>
      <c r="M43">
        <v>3.2</v>
      </c>
      <c r="N43">
        <v>2.2000000000000002</v>
      </c>
      <c r="O43" s="3">
        <f>IFERROR(AVERAGE(tblMain[[#This Row],[Primary_Total]],tblMain[[#This Row],[Upper_Primary_Total]],tblMain[[#This Row],[Secondary_Total]],tblMain[[#This Row],[HrSecondary_Total]]), "NULL")</f>
        <v>4.4249999999999998</v>
      </c>
      <c r="P43">
        <v>96.6</v>
      </c>
      <c r="Q43">
        <v>100.6</v>
      </c>
      <c r="R43">
        <v>98.4</v>
      </c>
      <c r="S43">
        <v>91.2</v>
      </c>
      <c r="T43">
        <v>98</v>
      </c>
      <c r="U43">
        <v>94.2</v>
      </c>
      <c r="V43">
        <v>88.8</v>
      </c>
      <c r="W43">
        <v>82.9</v>
      </c>
      <c r="X43">
        <v>86.2</v>
      </c>
      <c r="Y43">
        <v>72.8</v>
      </c>
      <c r="Z43">
        <v>65.400000000000006</v>
      </c>
      <c r="AA43">
        <v>69.599999999999994</v>
      </c>
      <c r="AB43">
        <v>96.5</v>
      </c>
      <c r="AC43" s="3">
        <f>IFERROR(AVERAGE(tblMain[[#This Row],[GER_Primary_Total]],tblMain[[#This Row],[GER_Upper_Primary_Total]],tblMain[[#This Row],[GER_Secondary_Total]],tblMain[[#This Row],[GER_HrSecondary_Girls]]),"NULL")</f>
        <v>86.050000000000011</v>
      </c>
      <c r="AD43">
        <v>98.1</v>
      </c>
      <c r="AE43">
        <v>44.1</v>
      </c>
      <c r="AF43">
        <v>98.9</v>
      </c>
      <c r="AG43">
        <v>99.9</v>
      </c>
    </row>
    <row r="44" spans="1:33" x14ac:dyDescent="0.35">
      <c r="A44" t="s">
        <v>48</v>
      </c>
      <c r="B44" t="s">
        <v>35</v>
      </c>
      <c r="C44">
        <v>5.5</v>
      </c>
      <c r="D44">
        <v>5.7</v>
      </c>
      <c r="E44">
        <v>5.6</v>
      </c>
      <c r="F44">
        <v>5.5</v>
      </c>
      <c r="G44">
        <v>6.2</v>
      </c>
      <c r="H44">
        <v>5.8</v>
      </c>
      <c r="I44">
        <v>16.399999999999999</v>
      </c>
      <c r="J44">
        <v>15.3</v>
      </c>
      <c r="K44">
        <v>15.9</v>
      </c>
      <c r="L44">
        <v>6.2</v>
      </c>
      <c r="M44">
        <v>5.0999999999999996</v>
      </c>
      <c r="N44">
        <v>5.8</v>
      </c>
      <c r="O44" s="3">
        <f>IFERROR(AVERAGE(tblMain[[#This Row],[Primary_Total]],tblMain[[#This Row],[Upper_Primary_Total]],tblMain[[#This Row],[Secondary_Total]],tblMain[[#This Row],[HrSecondary_Total]]), "NULL")</f>
        <v>8.2749999999999986</v>
      </c>
      <c r="P44">
        <v>95.9</v>
      </c>
      <c r="Q44">
        <v>99.6</v>
      </c>
      <c r="R44">
        <v>97.6</v>
      </c>
      <c r="S44">
        <v>92</v>
      </c>
      <c r="T44">
        <v>101.5</v>
      </c>
      <c r="U44">
        <v>96</v>
      </c>
      <c r="V44">
        <v>85.7</v>
      </c>
      <c r="W44">
        <v>82.5</v>
      </c>
      <c r="X44">
        <v>84.3</v>
      </c>
      <c r="Y44">
        <v>67.8</v>
      </c>
      <c r="Z44">
        <v>63.3</v>
      </c>
      <c r="AA44">
        <v>65.8</v>
      </c>
      <c r="AB44">
        <v>95.7</v>
      </c>
      <c r="AC44" s="3">
        <f>IFERROR(AVERAGE(tblMain[[#This Row],[GER_Primary_Total]],tblMain[[#This Row],[GER_Upper_Primary_Total]],tblMain[[#This Row],[GER_Secondary_Total]],tblMain[[#This Row],[GER_HrSecondary_Girls]]),"NULL")</f>
        <v>85.3</v>
      </c>
      <c r="AD44">
        <v>98.1</v>
      </c>
      <c r="AE44">
        <v>46</v>
      </c>
      <c r="AF44">
        <v>98.7</v>
      </c>
      <c r="AG44">
        <v>99.8</v>
      </c>
    </row>
    <row r="45" spans="1:33" x14ac:dyDescent="0.35">
      <c r="A45" t="s">
        <v>48</v>
      </c>
      <c r="B45" t="s">
        <v>36</v>
      </c>
      <c r="C45" t="s">
        <v>33</v>
      </c>
      <c r="D45" t="s">
        <v>33</v>
      </c>
      <c r="E45" t="s">
        <v>33</v>
      </c>
      <c r="F45" t="s">
        <v>33</v>
      </c>
      <c r="G45" t="s">
        <v>33</v>
      </c>
      <c r="H45" t="s">
        <v>33</v>
      </c>
      <c r="I45" t="s">
        <v>33</v>
      </c>
      <c r="J45" t="s">
        <v>33</v>
      </c>
      <c r="K45" t="s">
        <v>33</v>
      </c>
      <c r="L45" t="s">
        <v>33</v>
      </c>
      <c r="M45" t="s">
        <v>33</v>
      </c>
      <c r="N45" t="s">
        <v>33</v>
      </c>
      <c r="O45" s="3" t="str">
        <f>IFERROR(AVERAGE(tblMain[[#This Row],[Primary_Total]],tblMain[[#This Row],[Upper_Primary_Total]],tblMain[[#This Row],[Secondary_Total]],tblMain[[#This Row],[HrSecondary_Total]]), "NULL")</f>
        <v>NULL</v>
      </c>
      <c r="P45">
        <v>90</v>
      </c>
      <c r="Q45">
        <v>93.2</v>
      </c>
      <c r="R45">
        <v>91.4</v>
      </c>
      <c r="S45">
        <v>87.4</v>
      </c>
      <c r="T45">
        <v>99.2</v>
      </c>
      <c r="U45">
        <v>92.4</v>
      </c>
      <c r="V45">
        <v>84.2</v>
      </c>
      <c r="W45">
        <v>84.2</v>
      </c>
      <c r="X45">
        <v>84.2</v>
      </c>
      <c r="Y45">
        <v>59.7</v>
      </c>
      <c r="Z45">
        <v>59.5</v>
      </c>
      <c r="AA45">
        <v>59.6</v>
      </c>
      <c r="AB45">
        <v>99.5</v>
      </c>
      <c r="AC45" s="3">
        <f>IFERROR(AVERAGE(tblMain[[#This Row],[GER_Primary_Total]],tblMain[[#This Row],[GER_Upper_Primary_Total]],tblMain[[#This Row],[GER_Secondary_Total]],tblMain[[#This Row],[GER_HrSecondary_Girls]]),"NULL")</f>
        <v>81.875</v>
      </c>
      <c r="AD45">
        <v>99.6</v>
      </c>
      <c r="AE45">
        <v>46.9</v>
      </c>
      <c r="AF45">
        <v>99</v>
      </c>
      <c r="AG45">
        <v>99.9</v>
      </c>
    </row>
    <row r="46" spans="1:33" x14ac:dyDescent="0.35">
      <c r="A46" t="s">
        <v>49</v>
      </c>
      <c r="B46" t="s">
        <v>32</v>
      </c>
      <c r="C46">
        <v>0.5</v>
      </c>
      <c r="D46">
        <v>0.4</v>
      </c>
      <c r="E46">
        <v>0.5</v>
      </c>
      <c r="F46">
        <v>0.5</v>
      </c>
      <c r="G46">
        <v>0.5</v>
      </c>
      <c r="H46">
        <v>0.5</v>
      </c>
      <c r="I46">
        <v>8.4</v>
      </c>
      <c r="J46">
        <v>8.4</v>
      </c>
      <c r="K46">
        <v>8.4</v>
      </c>
      <c r="L46">
        <v>10.3</v>
      </c>
      <c r="M46">
        <v>7.6</v>
      </c>
      <c r="N46">
        <v>9</v>
      </c>
      <c r="O46" s="3">
        <f>IFERROR(AVERAGE(tblMain[[#This Row],[Primary_Total]],tblMain[[#This Row],[Upper_Primary_Total]],tblMain[[#This Row],[Secondary_Total]],tblMain[[#This Row],[HrSecondary_Total]]), "NULL")</f>
        <v>4.5999999999999996</v>
      </c>
      <c r="P46" t="s">
        <v>33</v>
      </c>
      <c r="Q46" t="s">
        <v>33</v>
      </c>
      <c r="R46" t="s">
        <v>33</v>
      </c>
      <c r="S46" t="s">
        <v>33</v>
      </c>
      <c r="T46" t="s">
        <v>33</v>
      </c>
      <c r="U46" t="s">
        <v>33</v>
      </c>
      <c r="V46" t="s">
        <v>33</v>
      </c>
      <c r="W46" t="s">
        <v>33</v>
      </c>
      <c r="X46" t="s">
        <v>33</v>
      </c>
      <c r="Y46" t="s">
        <v>33</v>
      </c>
      <c r="Z46" t="s">
        <v>33</v>
      </c>
      <c r="AA46" t="s">
        <v>33</v>
      </c>
      <c r="AB46" t="s">
        <v>33</v>
      </c>
      <c r="AC46" t="str">
        <f>IFERROR(AVERAGE(tblMain[[#This Row],[GER_Primary_Total]],tblMain[[#This Row],[GER_Upper_Primary_Total]],tblMain[[#This Row],[GER_Secondary_Total]],tblMain[[#This Row],[GER_HrSecondary_Girls]]),"NULL")</f>
        <v>NULL</v>
      </c>
      <c r="AD46" t="s">
        <v>33</v>
      </c>
      <c r="AE46" t="s">
        <v>33</v>
      </c>
      <c r="AF46" t="s">
        <v>33</v>
      </c>
      <c r="AG46" t="s">
        <v>33</v>
      </c>
    </row>
    <row r="47" spans="1:33" x14ac:dyDescent="0.35">
      <c r="A47" t="s">
        <v>49</v>
      </c>
      <c r="B47" t="s">
        <v>34</v>
      </c>
      <c r="C47">
        <v>0.6</v>
      </c>
      <c r="D47">
        <v>0.3</v>
      </c>
      <c r="E47">
        <v>0.5</v>
      </c>
      <c r="F47">
        <v>0.6</v>
      </c>
      <c r="G47">
        <v>1</v>
      </c>
      <c r="H47">
        <v>0.8</v>
      </c>
      <c r="I47">
        <v>9.3000000000000007</v>
      </c>
      <c r="J47">
        <v>8.8000000000000007</v>
      </c>
      <c r="K47">
        <v>9.1</v>
      </c>
      <c r="L47">
        <v>8.4</v>
      </c>
      <c r="M47">
        <v>5.5</v>
      </c>
      <c r="N47">
        <v>7.1</v>
      </c>
      <c r="O47" s="3">
        <f>IFERROR(AVERAGE(tblMain[[#This Row],[Primary_Total]],tblMain[[#This Row],[Upper_Primary_Total]],tblMain[[#This Row],[Secondary_Total]],tblMain[[#This Row],[HrSecondary_Total]]), "NULL")</f>
        <v>4.375</v>
      </c>
      <c r="P47">
        <v>99.8</v>
      </c>
      <c r="Q47">
        <v>101.3</v>
      </c>
      <c r="R47">
        <v>100.5</v>
      </c>
      <c r="S47">
        <v>101.6</v>
      </c>
      <c r="T47">
        <v>102</v>
      </c>
      <c r="U47">
        <v>101.8</v>
      </c>
      <c r="V47">
        <v>122.8</v>
      </c>
      <c r="W47">
        <v>117.5</v>
      </c>
      <c r="X47">
        <v>120.3</v>
      </c>
      <c r="Y47">
        <v>96.2</v>
      </c>
      <c r="Z47">
        <v>96.1</v>
      </c>
      <c r="AA47">
        <v>96.1</v>
      </c>
      <c r="AB47">
        <v>94.5</v>
      </c>
      <c r="AC47" s="3">
        <f>IFERROR(AVERAGE(tblMain[[#This Row],[GER_Primary_Total]],tblMain[[#This Row],[GER_Upper_Primary_Total]],tblMain[[#This Row],[GER_Secondary_Total]],tblMain[[#This Row],[GER_HrSecondary_Girls]]),"NULL")</f>
        <v>104.67500000000001</v>
      </c>
      <c r="AD47">
        <v>97.3</v>
      </c>
      <c r="AE47">
        <v>22.5</v>
      </c>
      <c r="AF47">
        <v>94.9</v>
      </c>
      <c r="AG47">
        <v>99.1</v>
      </c>
    </row>
    <row r="48" spans="1:33" x14ac:dyDescent="0.35">
      <c r="A48" t="s">
        <v>49</v>
      </c>
      <c r="B48" t="s">
        <v>35</v>
      </c>
      <c r="C48">
        <v>0.5</v>
      </c>
      <c r="D48">
        <v>0.8</v>
      </c>
      <c r="E48">
        <v>0.6</v>
      </c>
      <c r="F48">
        <v>0.5</v>
      </c>
      <c r="G48">
        <v>1.3</v>
      </c>
      <c r="H48">
        <v>0.9</v>
      </c>
      <c r="I48">
        <v>6.3</v>
      </c>
      <c r="J48">
        <v>5.8</v>
      </c>
      <c r="K48">
        <v>6.1</v>
      </c>
      <c r="L48">
        <v>9</v>
      </c>
      <c r="M48">
        <v>5.6</v>
      </c>
      <c r="N48">
        <v>7.4</v>
      </c>
      <c r="O48" s="3">
        <f>IFERROR(AVERAGE(tblMain[[#This Row],[Primary_Total]],tblMain[[#This Row],[Upper_Primary_Total]],tblMain[[#This Row],[Secondary_Total]],tblMain[[#This Row],[HrSecondary_Total]]), "NULL")</f>
        <v>3.75</v>
      </c>
      <c r="P48">
        <v>98.5</v>
      </c>
      <c r="Q48">
        <v>100.4</v>
      </c>
      <c r="R48">
        <v>99.4</v>
      </c>
      <c r="S48">
        <v>102.3</v>
      </c>
      <c r="T48">
        <v>104</v>
      </c>
      <c r="U48">
        <v>103.1</v>
      </c>
      <c r="V48">
        <v>119</v>
      </c>
      <c r="W48">
        <v>112.3</v>
      </c>
      <c r="X48">
        <v>115.9</v>
      </c>
      <c r="Y48">
        <v>101.7</v>
      </c>
      <c r="Z48">
        <v>99.3</v>
      </c>
      <c r="AA48">
        <v>100.6</v>
      </c>
      <c r="AB48">
        <v>95.6</v>
      </c>
      <c r="AC48" s="3">
        <f>IFERROR(AVERAGE(tblMain[[#This Row],[GER_Primary_Total]],tblMain[[#This Row],[GER_Upper_Primary_Total]],tblMain[[#This Row],[GER_Secondary_Total]],tblMain[[#This Row],[GER_HrSecondary_Girls]]),"NULL")</f>
        <v>104.425</v>
      </c>
      <c r="AD48">
        <v>97.7</v>
      </c>
      <c r="AE48">
        <v>23.9</v>
      </c>
      <c r="AF48">
        <v>94.2</v>
      </c>
      <c r="AG48">
        <v>99.1</v>
      </c>
    </row>
    <row r="49" spans="1:33" x14ac:dyDescent="0.35">
      <c r="A49" t="s">
        <v>49</v>
      </c>
      <c r="B49" t="s">
        <v>36</v>
      </c>
      <c r="C49" t="s">
        <v>33</v>
      </c>
      <c r="D49" t="s">
        <v>33</v>
      </c>
      <c r="E49" t="s">
        <v>33</v>
      </c>
      <c r="F49" t="s">
        <v>33</v>
      </c>
      <c r="G49" t="s">
        <v>33</v>
      </c>
      <c r="H49" t="s">
        <v>33</v>
      </c>
      <c r="I49" t="s">
        <v>33</v>
      </c>
      <c r="J49" t="s">
        <v>33</v>
      </c>
      <c r="K49" t="s">
        <v>33</v>
      </c>
      <c r="L49" t="s">
        <v>33</v>
      </c>
      <c r="M49" t="s">
        <v>33</v>
      </c>
      <c r="N49" t="s">
        <v>33</v>
      </c>
      <c r="O49" s="3" t="str">
        <f>IFERROR(AVERAGE(tblMain[[#This Row],[Primary_Total]],tblMain[[#This Row],[Upper_Primary_Total]],tblMain[[#This Row],[Secondary_Total]],tblMain[[#This Row],[HrSecondary_Total]]), "NULL")</f>
        <v>NULL</v>
      </c>
      <c r="P49">
        <v>98</v>
      </c>
      <c r="Q49">
        <v>99.7</v>
      </c>
      <c r="R49">
        <v>98.8</v>
      </c>
      <c r="S49">
        <v>103.4</v>
      </c>
      <c r="T49">
        <v>105.5</v>
      </c>
      <c r="U49">
        <v>104.4</v>
      </c>
      <c r="V49">
        <v>108.4</v>
      </c>
      <c r="W49">
        <v>105.5</v>
      </c>
      <c r="X49">
        <v>107.1</v>
      </c>
      <c r="Y49">
        <v>94.6</v>
      </c>
      <c r="Z49">
        <v>96.6</v>
      </c>
      <c r="AA49">
        <v>95.5</v>
      </c>
      <c r="AB49">
        <v>99.7</v>
      </c>
      <c r="AC49" s="3">
        <f>IFERROR(AVERAGE(tblMain[[#This Row],[GER_Primary_Total]],tblMain[[#This Row],[GER_Upper_Primary_Total]],tblMain[[#This Row],[GER_Secondary_Total]],tblMain[[#This Row],[GER_HrSecondary_Girls]]),"NULL")</f>
        <v>101.72499999999999</v>
      </c>
      <c r="AD49">
        <v>99.8</v>
      </c>
      <c r="AE49">
        <v>26</v>
      </c>
      <c r="AF49">
        <v>96.2</v>
      </c>
      <c r="AG49">
        <v>99.9</v>
      </c>
    </row>
    <row r="50" spans="1:33" x14ac:dyDescent="0.35">
      <c r="A50" t="s">
        <v>50</v>
      </c>
      <c r="B50" t="s">
        <v>32</v>
      </c>
      <c r="C50">
        <v>6.8</v>
      </c>
      <c r="D50">
        <v>5.8</v>
      </c>
      <c r="E50">
        <v>6.3</v>
      </c>
      <c r="F50">
        <v>5.5</v>
      </c>
      <c r="G50">
        <v>5.5</v>
      </c>
      <c r="H50">
        <v>5.5</v>
      </c>
      <c r="I50">
        <v>16.8</v>
      </c>
      <c r="J50">
        <v>18</v>
      </c>
      <c r="K50">
        <v>17.3</v>
      </c>
      <c r="L50">
        <v>11.7</v>
      </c>
      <c r="M50">
        <v>9.4</v>
      </c>
      <c r="N50">
        <v>10.7</v>
      </c>
      <c r="O50" s="3">
        <f>IFERROR(AVERAGE(tblMain[[#This Row],[Primary_Total]],tblMain[[#This Row],[Upper_Primary_Total]],tblMain[[#This Row],[Secondary_Total]],tblMain[[#This Row],[HrSecondary_Total]]), "NULL")</f>
        <v>9.9499999999999993</v>
      </c>
      <c r="P50" t="s">
        <v>33</v>
      </c>
      <c r="Q50" t="s">
        <v>33</v>
      </c>
      <c r="R50" t="s">
        <v>33</v>
      </c>
      <c r="S50" t="s">
        <v>33</v>
      </c>
      <c r="T50" t="s">
        <v>33</v>
      </c>
      <c r="U50" t="s">
        <v>33</v>
      </c>
      <c r="V50" t="s">
        <v>33</v>
      </c>
      <c r="W50" t="s">
        <v>33</v>
      </c>
      <c r="X50" t="s">
        <v>33</v>
      </c>
      <c r="Y50" t="s">
        <v>33</v>
      </c>
      <c r="Z50" t="s">
        <v>33</v>
      </c>
      <c r="AA50" t="s">
        <v>33</v>
      </c>
      <c r="AB50" t="s">
        <v>33</v>
      </c>
      <c r="AC50" t="str">
        <f>IFERROR(AVERAGE(tblMain[[#This Row],[GER_Primary_Total]],tblMain[[#This Row],[GER_Upper_Primary_Total]],tblMain[[#This Row],[GER_Secondary_Total]],tblMain[[#This Row],[GER_HrSecondary_Girls]]),"NULL")</f>
        <v>NULL</v>
      </c>
      <c r="AD50" t="s">
        <v>33</v>
      </c>
      <c r="AE50" t="s">
        <v>33</v>
      </c>
      <c r="AF50" t="s">
        <v>33</v>
      </c>
      <c r="AG50" t="s">
        <v>33</v>
      </c>
    </row>
    <row r="51" spans="1:33" x14ac:dyDescent="0.35">
      <c r="A51" t="s">
        <v>50</v>
      </c>
      <c r="B51" t="s">
        <v>34</v>
      </c>
      <c r="C51">
        <v>5.5</v>
      </c>
      <c r="D51">
        <v>5.4</v>
      </c>
      <c r="E51">
        <v>5.5</v>
      </c>
      <c r="F51">
        <v>3.9</v>
      </c>
      <c r="G51">
        <v>4.8</v>
      </c>
      <c r="H51">
        <v>4.3</v>
      </c>
      <c r="I51">
        <v>14.7</v>
      </c>
      <c r="J51">
        <v>16.100000000000001</v>
      </c>
      <c r="K51">
        <v>15.4</v>
      </c>
      <c r="L51">
        <v>8.8000000000000007</v>
      </c>
      <c r="M51">
        <v>6.2</v>
      </c>
      <c r="N51">
        <v>7.6</v>
      </c>
      <c r="O51" s="3">
        <f>IFERROR(AVERAGE(tblMain[[#This Row],[Primary_Total]],tblMain[[#This Row],[Upper_Primary_Total]],tblMain[[#This Row],[Secondary_Total]],tblMain[[#This Row],[HrSecondary_Total]]), "NULL")</f>
        <v>8.2000000000000011</v>
      </c>
      <c r="P51">
        <v>84</v>
      </c>
      <c r="Q51">
        <v>85.9</v>
      </c>
      <c r="R51">
        <v>84.9</v>
      </c>
      <c r="S51">
        <v>71.599999999999994</v>
      </c>
      <c r="T51">
        <v>73.3</v>
      </c>
      <c r="U51">
        <v>72.400000000000006</v>
      </c>
      <c r="V51">
        <v>67.8</v>
      </c>
      <c r="W51">
        <v>63.9</v>
      </c>
      <c r="X51">
        <v>66</v>
      </c>
      <c r="Y51">
        <v>54.5</v>
      </c>
      <c r="Z51">
        <v>47.9</v>
      </c>
      <c r="AA51">
        <v>51.3</v>
      </c>
      <c r="AB51">
        <v>69.599999999999994</v>
      </c>
      <c r="AC51" s="3">
        <f>IFERROR(AVERAGE(tblMain[[#This Row],[GER_Primary_Total]],tblMain[[#This Row],[GER_Upper_Primary_Total]],tblMain[[#This Row],[GER_Secondary_Total]],tblMain[[#This Row],[GER_HrSecondary_Girls]]),"NULL")</f>
        <v>67.8</v>
      </c>
      <c r="AD51">
        <v>76.7</v>
      </c>
      <c r="AE51">
        <v>16.7</v>
      </c>
      <c r="AF51">
        <v>23.5</v>
      </c>
      <c r="AG51">
        <v>90</v>
      </c>
    </row>
    <row r="52" spans="1:33" x14ac:dyDescent="0.35">
      <c r="A52" t="s">
        <v>50</v>
      </c>
      <c r="B52" t="s">
        <v>35</v>
      </c>
      <c r="C52">
        <v>7</v>
      </c>
      <c r="D52">
        <v>6.6</v>
      </c>
      <c r="E52">
        <v>6.8</v>
      </c>
      <c r="F52">
        <v>5</v>
      </c>
      <c r="G52">
        <v>6</v>
      </c>
      <c r="H52">
        <v>5.4</v>
      </c>
      <c r="I52">
        <v>17</v>
      </c>
      <c r="J52">
        <v>17.7</v>
      </c>
      <c r="K52">
        <v>17.3</v>
      </c>
      <c r="L52">
        <v>13.9</v>
      </c>
      <c r="M52">
        <v>11.2</v>
      </c>
      <c r="N52">
        <v>12.7</v>
      </c>
      <c r="O52" s="3">
        <f>IFERROR(AVERAGE(tblMain[[#This Row],[Primary_Total]],tblMain[[#This Row],[Upper_Primary_Total]],tblMain[[#This Row],[Secondary_Total]],tblMain[[#This Row],[HrSecondary_Total]]), "NULL")</f>
        <v>10.55</v>
      </c>
      <c r="P52">
        <v>85.1</v>
      </c>
      <c r="Q52">
        <v>87</v>
      </c>
      <c r="R52">
        <v>86</v>
      </c>
      <c r="S52">
        <v>69.8</v>
      </c>
      <c r="T52">
        <v>72.099999999999994</v>
      </c>
      <c r="U52">
        <v>70.900000000000006</v>
      </c>
      <c r="V52">
        <v>67.7</v>
      </c>
      <c r="W52">
        <v>64.8</v>
      </c>
      <c r="X52">
        <v>66.3</v>
      </c>
      <c r="Y52">
        <v>62.3</v>
      </c>
      <c r="Z52">
        <v>56.1</v>
      </c>
      <c r="AA52">
        <v>59.3</v>
      </c>
      <c r="AB52">
        <v>71.5</v>
      </c>
      <c r="AC52" s="3">
        <f>IFERROR(AVERAGE(tblMain[[#This Row],[GER_Primary_Total]],tblMain[[#This Row],[GER_Upper_Primary_Total]],tblMain[[#This Row],[GER_Secondary_Total]],tblMain[[#This Row],[GER_HrSecondary_Girls]]),"NULL")</f>
        <v>69.825000000000003</v>
      </c>
      <c r="AD52">
        <v>77.900000000000006</v>
      </c>
      <c r="AE52">
        <v>17.600000000000001</v>
      </c>
      <c r="AF52">
        <v>26.4</v>
      </c>
      <c r="AG52">
        <v>90.8</v>
      </c>
    </row>
    <row r="53" spans="1:33" x14ac:dyDescent="0.35">
      <c r="A53" t="s">
        <v>50</v>
      </c>
      <c r="B53" t="s">
        <v>36</v>
      </c>
      <c r="C53" t="s">
        <v>33</v>
      </c>
      <c r="D53" t="s">
        <v>33</v>
      </c>
      <c r="E53" t="s">
        <v>33</v>
      </c>
      <c r="F53" t="s">
        <v>33</v>
      </c>
      <c r="G53" t="s">
        <v>33</v>
      </c>
      <c r="H53" t="s">
        <v>33</v>
      </c>
      <c r="I53" t="s">
        <v>33</v>
      </c>
      <c r="J53" t="s">
        <v>33</v>
      </c>
      <c r="K53" t="s">
        <v>33</v>
      </c>
      <c r="L53" t="s">
        <v>33</v>
      </c>
      <c r="M53" t="s">
        <v>33</v>
      </c>
      <c r="N53" t="s">
        <v>33</v>
      </c>
      <c r="O53" s="3" t="str">
        <f>IFERROR(AVERAGE(tblMain[[#This Row],[Primary_Total]],tblMain[[#This Row],[Upper_Primary_Total]],tblMain[[#This Row],[Secondary_Total]],tblMain[[#This Row],[HrSecondary_Total]]), "NULL")</f>
        <v>NULL</v>
      </c>
      <c r="P53">
        <v>84.9</v>
      </c>
      <c r="Q53">
        <v>87.2</v>
      </c>
      <c r="R53">
        <v>86</v>
      </c>
      <c r="S53">
        <v>68.8</v>
      </c>
      <c r="T53">
        <v>71.900000000000006</v>
      </c>
      <c r="U53">
        <v>70.2</v>
      </c>
      <c r="V53">
        <v>67.7</v>
      </c>
      <c r="W53">
        <v>65.900000000000006</v>
      </c>
      <c r="X53">
        <v>66.8</v>
      </c>
      <c r="Y53">
        <v>61</v>
      </c>
      <c r="Z53">
        <v>56</v>
      </c>
      <c r="AA53">
        <v>58.6</v>
      </c>
      <c r="AB53">
        <v>92.1</v>
      </c>
      <c r="AC53" s="3">
        <f>IFERROR(AVERAGE(tblMain[[#This Row],[GER_Primary_Total]],tblMain[[#This Row],[GER_Upper_Primary_Total]],tblMain[[#This Row],[GER_Secondary_Total]],tblMain[[#This Row],[GER_HrSecondary_Girls]]),"NULL")</f>
        <v>69.75</v>
      </c>
      <c r="AD53">
        <v>95</v>
      </c>
      <c r="AE53">
        <v>18.3</v>
      </c>
      <c r="AF53">
        <v>31</v>
      </c>
      <c r="AG53">
        <v>92.4</v>
      </c>
    </row>
    <row r="54" spans="1:33" x14ac:dyDescent="0.35">
      <c r="A54" t="s">
        <v>51</v>
      </c>
      <c r="B54" t="s">
        <v>35</v>
      </c>
      <c r="C54">
        <v>5.9</v>
      </c>
      <c r="D54">
        <v>5</v>
      </c>
      <c r="E54">
        <v>5.5</v>
      </c>
      <c r="F54">
        <v>9</v>
      </c>
      <c r="G54">
        <v>9</v>
      </c>
      <c r="H54">
        <v>9</v>
      </c>
      <c r="I54">
        <v>23.5</v>
      </c>
      <c r="J54">
        <v>24.6</v>
      </c>
      <c r="K54">
        <v>24</v>
      </c>
      <c r="L54">
        <v>2.7</v>
      </c>
      <c r="M54">
        <v>4.2</v>
      </c>
      <c r="N54">
        <v>3.4</v>
      </c>
      <c r="O54" s="3">
        <f>IFERROR(AVERAGE(tblMain[[#This Row],[Primary_Total]],tblMain[[#This Row],[Upper_Primary_Total]],tblMain[[#This Row],[Secondary_Total]],tblMain[[#This Row],[HrSecondary_Total]]), "NULL")</f>
        <v>10.475</v>
      </c>
      <c r="P54">
        <v>107.8</v>
      </c>
      <c r="Q54">
        <v>109.1</v>
      </c>
      <c r="R54">
        <v>108.4</v>
      </c>
      <c r="S54">
        <v>95.8</v>
      </c>
      <c r="T54">
        <v>104.5</v>
      </c>
      <c r="U54">
        <v>100</v>
      </c>
      <c r="V54">
        <v>69.400000000000006</v>
      </c>
      <c r="W54">
        <v>74.599999999999994</v>
      </c>
      <c r="X54">
        <v>71.900000000000006</v>
      </c>
      <c r="Y54">
        <v>48.4</v>
      </c>
      <c r="Z54">
        <v>49.1</v>
      </c>
      <c r="AA54">
        <v>48.7</v>
      </c>
      <c r="AB54">
        <v>86.2</v>
      </c>
      <c r="AC54" s="3">
        <f>IFERROR(AVERAGE(tblMain[[#This Row],[GER_Primary_Total]],tblMain[[#This Row],[GER_Upper_Primary_Total]],tblMain[[#This Row],[GER_Secondary_Total]],tblMain[[#This Row],[GER_HrSecondary_Girls]]),"NULL")</f>
        <v>82.350000000000009</v>
      </c>
      <c r="AD54">
        <v>87.3</v>
      </c>
      <c r="AE54">
        <v>9.6999999999999993</v>
      </c>
      <c r="AF54">
        <v>18</v>
      </c>
      <c r="AG54">
        <v>91.9</v>
      </c>
    </row>
    <row r="55" spans="1:33" x14ac:dyDescent="0.35">
      <c r="A55" t="s">
        <v>51</v>
      </c>
      <c r="B55" t="s">
        <v>34</v>
      </c>
      <c r="C55" t="s">
        <v>33</v>
      </c>
      <c r="D55" t="s">
        <v>33</v>
      </c>
      <c r="E55" t="s">
        <v>33</v>
      </c>
      <c r="F55" t="s">
        <v>33</v>
      </c>
      <c r="G55" t="s">
        <v>33</v>
      </c>
      <c r="H55" t="s">
        <v>33</v>
      </c>
      <c r="I55" t="s">
        <v>33</v>
      </c>
      <c r="J55" t="s">
        <v>33</v>
      </c>
      <c r="K55" t="s">
        <v>33</v>
      </c>
      <c r="L55" t="s">
        <v>33</v>
      </c>
      <c r="M55" t="s">
        <v>33</v>
      </c>
      <c r="N55" t="s">
        <v>33</v>
      </c>
      <c r="O55" s="3" t="str">
        <f>IFERROR(AVERAGE(tblMain[[#This Row],[Primary_Total]],tblMain[[#This Row],[Upper_Primary_Total]],tblMain[[#This Row],[Secondary_Total]],tblMain[[#This Row],[HrSecondary_Total]]), "NULL")</f>
        <v>NULL</v>
      </c>
      <c r="P55">
        <v>109.6</v>
      </c>
      <c r="Q55">
        <v>110.9</v>
      </c>
      <c r="R55">
        <v>110.2</v>
      </c>
      <c r="S55">
        <v>91.7</v>
      </c>
      <c r="T55">
        <v>99.1</v>
      </c>
      <c r="U55">
        <v>95.3</v>
      </c>
      <c r="V55">
        <v>68.7</v>
      </c>
      <c r="W55">
        <v>71.8</v>
      </c>
      <c r="X55">
        <v>70.099999999999994</v>
      </c>
      <c r="Y55">
        <v>43.9</v>
      </c>
      <c r="Z55">
        <v>44</v>
      </c>
      <c r="AA55">
        <v>44</v>
      </c>
      <c r="AB55">
        <v>85.7</v>
      </c>
      <c r="AC55" s="3">
        <f>IFERROR(AVERAGE(tblMain[[#This Row],[GER_Primary_Total]],tblMain[[#This Row],[GER_Upper_Primary_Total]],tblMain[[#This Row],[GER_Secondary_Total]],tblMain[[#This Row],[GER_HrSecondary_Girls]]),"NULL")</f>
        <v>79.900000000000006</v>
      </c>
      <c r="AD55">
        <v>87.7</v>
      </c>
      <c r="AE55">
        <v>8.9</v>
      </c>
      <c r="AF55">
        <v>16.399999999999999</v>
      </c>
      <c r="AG55">
        <v>91.4</v>
      </c>
    </row>
    <row r="56" spans="1:33" x14ac:dyDescent="0.35">
      <c r="A56" t="s">
        <v>51</v>
      </c>
      <c r="B56" t="s">
        <v>36</v>
      </c>
      <c r="C56" t="s">
        <v>33</v>
      </c>
      <c r="D56" t="s">
        <v>33</v>
      </c>
      <c r="E56" t="s">
        <v>33</v>
      </c>
      <c r="F56" t="s">
        <v>33</v>
      </c>
      <c r="G56" t="s">
        <v>33</v>
      </c>
      <c r="H56" t="s">
        <v>33</v>
      </c>
      <c r="I56" t="s">
        <v>33</v>
      </c>
      <c r="J56" t="s">
        <v>33</v>
      </c>
      <c r="K56" t="s">
        <v>33</v>
      </c>
      <c r="L56" t="s">
        <v>33</v>
      </c>
      <c r="M56" t="s">
        <v>33</v>
      </c>
      <c r="N56" t="s">
        <v>33</v>
      </c>
      <c r="O56" s="3" t="str">
        <f>IFERROR(AVERAGE(tblMain[[#This Row],[Primary_Total]],tblMain[[#This Row],[Upper_Primary_Total]],tblMain[[#This Row],[Secondary_Total]],tblMain[[#This Row],[HrSecondary_Total]]), "NULL")</f>
        <v>NULL</v>
      </c>
      <c r="P56">
        <v>108.6</v>
      </c>
      <c r="Q56">
        <v>109.9</v>
      </c>
      <c r="R56">
        <v>109.2</v>
      </c>
      <c r="S56">
        <v>97.8</v>
      </c>
      <c r="T56">
        <v>108.2</v>
      </c>
      <c r="U56">
        <v>102.7</v>
      </c>
      <c r="V56">
        <v>70.7</v>
      </c>
      <c r="W56">
        <v>76.900000000000006</v>
      </c>
      <c r="X56">
        <v>73.7</v>
      </c>
      <c r="Y56">
        <v>47.8</v>
      </c>
      <c r="Z56">
        <v>49</v>
      </c>
      <c r="AA56">
        <v>48.3</v>
      </c>
      <c r="AB56">
        <v>96.5</v>
      </c>
      <c r="AC56" s="3">
        <f>IFERROR(AVERAGE(tblMain[[#This Row],[GER_Primary_Total]],tblMain[[#This Row],[GER_Upper_Primary_Total]],tblMain[[#This Row],[GER_Secondary_Total]],tblMain[[#This Row],[GER_HrSecondary_Girls]]),"NULL")</f>
        <v>83.65</v>
      </c>
      <c r="AD56">
        <v>96.8</v>
      </c>
      <c r="AE56">
        <v>10.3</v>
      </c>
      <c r="AF56">
        <v>19.5</v>
      </c>
      <c r="AG56">
        <v>93.6</v>
      </c>
    </row>
    <row r="57" spans="1:33" x14ac:dyDescent="0.35">
      <c r="A57" t="s">
        <v>52</v>
      </c>
      <c r="B57" t="s">
        <v>32</v>
      </c>
      <c r="C57">
        <v>3.4</v>
      </c>
      <c r="D57">
        <v>2.5</v>
      </c>
      <c r="E57">
        <v>3</v>
      </c>
      <c r="F57">
        <v>5</v>
      </c>
      <c r="G57">
        <v>5.2</v>
      </c>
      <c r="H57">
        <v>5.0999999999999996</v>
      </c>
      <c r="I57">
        <v>40.700000000000003</v>
      </c>
      <c r="J57">
        <v>39.1</v>
      </c>
      <c r="K57">
        <v>39.9</v>
      </c>
      <c r="L57">
        <v>19.5</v>
      </c>
      <c r="M57">
        <v>11.3</v>
      </c>
      <c r="N57">
        <v>15.3</v>
      </c>
      <c r="O57" s="3">
        <f>IFERROR(AVERAGE(tblMain[[#This Row],[Primary_Total]],tblMain[[#This Row],[Upper_Primary_Total]],tblMain[[#This Row],[Secondary_Total]],tblMain[[#This Row],[HrSecondary_Total]]), "NULL")</f>
        <v>15.824999999999999</v>
      </c>
      <c r="P57" t="s">
        <v>33</v>
      </c>
      <c r="Q57" t="s">
        <v>33</v>
      </c>
      <c r="R57" t="s">
        <v>33</v>
      </c>
      <c r="S57" t="s">
        <v>33</v>
      </c>
      <c r="T57" t="s">
        <v>33</v>
      </c>
      <c r="U57" t="s">
        <v>33</v>
      </c>
      <c r="V57" t="s">
        <v>33</v>
      </c>
      <c r="W57" t="s">
        <v>33</v>
      </c>
      <c r="X57" t="s">
        <v>33</v>
      </c>
      <c r="Y57" t="s">
        <v>33</v>
      </c>
      <c r="Z57" t="s">
        <v>33</v>
      </c>
      <c r="AA57" t="s">
        <v>33</v>
      </c>
      <c r="AB57" t="s">
        <v>33</v>
      </c>
      <c r="AC57" t="str">
        <f>IFERROR(AVERAGE(tblMain[[#This Row],[GER_Primary_Total]],tblMain[[#This Row],[GER_Upper_Primary_Total]],tblMain[[#This Row],[GER_Secondary_Total]],tblMain[[#This Row],[GER_HrSecondary_Girls]]),"NULL")</f>
        <v>NULL</v>
      </c>
      <c r="AD57" t="s">
        <v>33</v>
      </c>
      <c r="AE57" t="s">
        <v>33</v>
      </c>
      <c r="AF57" t="s">
        <v>33</v>
      </c>
      <c r="AG57" t="s">
        <v>33</v>
      </c>
    </row>
    <row r="58" spans="1:33" x14ac:dyDescent="0.35">
      <c r="A58" t="s">
        <v>52</v>
      </c>
      <c r="B58" t="s">
        <v>35</v>
      </c>
      <c r="C58">
        <v>2</v>
      </c>
      <c r="D58">
        <v>2</v>
      </c>
      <c r="E58">
        <v>2</v>
      </c>
      <c r="F58">
        <v>3.5</v>
      </c>
      <c r="G58">
        <v>4.3</v>
      </c>
      <c r="H58">
        <v>3.9</v>
      </c>
      <c r="I58">
        <v>27.7</v>
      </c>
      <c r="J58">
        <v>24.5</v>
      </c>
      <c r="K58">
        <v>26.2</v>
      </c>
      <c r="L58">
        <v>6</v>
      </c>
      <c r="M58">
        <v>7.9</v>
      </c>
      <c r="N58">
        <v>2</v>
      </c>
      <c r="O58" s="3">
        <f>IFERROR(AVERAGE(tblMain[[#This Row],[Primary_Total]],tblMain[[#This Row],[Upper_Primary_Total]],tblMain[[#This Row],[Secondary_Total]],tblMain[[#This Row],[HrSecondary_Total]]), "NULL")</f>
        <v>8.5250000000000004</v>
      </c>
      <c r="P58">
        <v>101.9</v>
      </c>
      <c r="Q58">
        <v>101.8</v>
      </c>
      <c r="R58">
        <v>101.9</v>
      </c>
      <c r="S58">
        <v>92.5</v>
      </c>
      <c r="T58">
        <v>93.9</v>
      </c>
      <c r="U58">
        <v>93.2</v>
      </c>
      <c r="V58">
        <v>81.099999999999994</v>
      </c>
      <c r="W58">
        <v>82.6</v>
      </c>
      <c r="X58">
        <v>81.8</v>
      </c>
      <c r="Y58">
        <v>30.8</v>
      </c>
      <c r="Z58">
        <v>35.299999999999997</v>
      </c>
      <c r="AA58">
        <v>33</v>
      </c>
      <c r="AB58">
        <v>99.5</v>
      </c>
      <c r="AC58" s="3">
        <f>IFERROR(AVERAGE(tblMain[[#This Row],[GER_Primary_Total]],tblMain[[#This Row],[GER_Upper_Primary_Total]],tblMain[[#This Row],[GER_Secondary_Total]],tblMain[[#This Row],[GER_HrSecondary_Girls]]),"NULL")</f>
        <v>78.050000000000011</v>
      </c>
      <c r="AD58">
        <v>99.6</v>
      </c>
      <c r="AE58">
        <v>38.700000000000003</v>
      </c>
      <c r="AF58">
        <v>97.6</v>
      </c>
      <c r="AG58">
        <v>99.8</v>
      </c>
    </row>
    <row r="59" spans="1:33" x14ac:dyDescent="0.35">
      <c r="A59" t="s">
        <v>52</v>
      </c>
      <c r="B59" t="s">
        <v>34</v>
      </c>
      <c r="C59" t="s">
        <v>33</v>
      </c>
      <c r="D59" t="s">
        <v>33</v>
      </c>
      <c r="E59" t="s">
        <v>33</v>
      </c>
      <c r="F59" t="s">
        <v>33</v>
      </c>
      <c r="G59" t="s">
        <v>33</v>
      </c>
      <c r="H59" t="s">
        <v>33</v>
      </c>
      <c r="I59" t="s">
        <v>33</v>
      </c>
      <c r="J59" t="s">
        <v>33</v>
      </c>
      <c r="K59" t="s">
        <v>33</v>
      </c>
      <c r="L59" t="s">
        <v>33</v>
      </c>
      <c r="M59" t="s">
        <v>33</v>
      </c>
      <c r="N59" t="s">
        <v>33</v>
      </c>
      <c r="O59" s="3" t="str">
        <f>IFERROR(AVERAGE(tblMain[[#This Row],[Primary_Total]],tblMain[[#This Row],[Upper_Primary_Total]],tblMain[[#This Row],[Secondary_Total]],tblMain[[#This Row],[HrSecondary_Total]]), "NULL")</f>
        <v>NULL</v>
      </c>
      <c r="P59">
        <v>101.2</v>
      </c>
      <c r="Q59">
        <v>100.7</v>
      </c>
      <c r="R59">
        <v>101</v>
      </c>
      <c r="S59">
        <v>91.7</v>
      </c>
      <c r="T59">
        <v>91.9</v>
      </c>
      <c r="U59">
        <v>91.8</v>
      </c>
      <c r="V59">
        <v>76.900000000000006</v>
      </c>
      <c r="W59">
        <v>78.2</v>
      </c>
      <c r="X59">
        <v>77.5</v>
      </c>
      <c r="Y59">
        <v>16.899999999999999</v>
      </c>
      <c r="Z59">
        <v>20</v>
      </c>
      <c r="AA59">
        <v>18.399999999999999</v>
      </c>
      <c r="AB59">
        <v>99.7</v>
      </c>
      <c r="AC59" s="3">
        <f>IFERROR(AVERAGE(tblMain[[#This Row],[GER_Primary_Total]],tblMain[[#This Row],[GER_Upper_Primary_Total]],tblMain[[#This Row],[GER_Secondary_Total]],tblMain[[#This Row],[GER_HrSecondary_Girls]]),"NULL")</f>
        <v>72.575000000000003</v>
      </c>
      <c r="AD59">
        <v>99.9</v>
      </c>
      <c r="AE59">
        <v>35</v>
      </c>
      <c r="AF59">
        <v>96.8</v>
      </c>
      <c r="AG59">
        <v>99.5</v>
      </c>
    </row>
    <row r="60" spans="1:33" x14ac:dyDescent="0.35">
      <c r="A60" t="s">
        <v>52</v>
      </c>
      <c r="B60" t="s">
        <v>36</v>
      </c>
      <c r="C60" t="s">
        <v>33</v>
      </c>
      <c r="D60" t="s">
        <v>33</v>
      </c>
      <c r="E60" t="s">
        <v>33</v>
      </c>
      <c r="F60" t="s">
        <v>33</v>
      </c>
      <c r="G60" t="s">
        <v>33</v>
      </c>
      <c r="H60" t="s">
        <v>33</v>
      </c>
      <c r="I60" t="s">
        <v>33</v>
      </c>
      <c r="J60" t="s">
        <v>33</v>
      </c>
      <c r="K60" t="s">
        <v>33</v>
      </c>
      <c r="L60" t="s">
        <v>33</v>
      </c>
      <c r="M60" t="s">
        <v>33</v>
      </c>
      <c r="N60" t="s">
        <v>33</v>
      </c>
      <c r="O60" s="3" t="str">
        <f>IFERROR(AVERAGE(tblMain[[#This Row],[Primary_Total]],tblMain[[#This Row],[Upper_Primary_Total]],tblMain[[#This Row],[Secondary_Total]],tblMain[[#This Row],[HrSecondary_Total]]), "NULL")</f>
        <v>NULL</v>
      </c>
      <c r="P60">
        <v>102.9</v>
      </c>
      <c r="Q60">
        <v>103</v>
      </c>
      <c r="R60">
        <v>103</v>
      </c>
      <c r="S60">
        <v>92.4</v>
      </c>
      <c r="T60">
        <v>94.4</v>
      </c>
      <c r="U60">
        <v>93.4</v>
      </c>
      <c r="V60">
        <v>82.4</v>
      </c>
      <c r="W60">
        <v>84.2</v>
      </c>
      <c r="X60">
        <v>83.2</v>
      </c>
      <c r="Y60">
        <v>37.1</v>
      </c>
      <c r="Z60">
        <v>42.9</v>
      </c>
      <c r="AA60">
        <v>39.9</v>
      </c>
      <c r="AB60">
        <v>99.3</v>
      </c>
      <c r="AC60" s="3">
        <f>IFERROR(AVERAGE(tblMain[[#This Row],[GER_Primary_Total]],tblMain[[#This Row],[GER_Upper_Primary_Total]],tblMain[[#This Row],[GER_Secondary_Total]],tblMain[[#This Row],[GER_HrSecondary_Girls]]),"NULL")</f>
        <v>80.625</v>
      </c>
      <c r="AD60">
        <v>99.6</v>
      </c>
      <c r="AE60">
        <v>39.5</v>
      </c>
      <c r="AF60">
        <v>98.1</v>
      </c>
      <c r="AG60">
        <v>99.9</v>
      </c>
    </row>
    <row r="61" spans="1:33" x14ac:dyDescent="0.35">
      <c r="A61" t="s">
        <v>53</v>
      </c>
      <c r="B61" t="s">
        <v>34</v>
      </c>
      <c r="C61" t="s">
        <v>33</v>
      </c>
      <c r="D61" t="s">
        <v>33</v>
      </c>
      <c r="E61" t="s">
        <v>33</v>
      </c>
      <c r="F61" t="s">
        <v>33</v>
      </c>
      <c r="G61" t="s">
        <v>33</v>
      </c>
      <c r="H61" t="s">
        <v>33</v>
      </c>
      <c r="I61" t="s">
        <v>33</v>
      </c>
      <c r="J61" t="s">
        <v>33</v>
      </c>
      <c r="K61" t="s">
        <v>33</v>
      </c>
      <c r="L61" t="s">
        <v>33</v>
      </c>
      <c r="M61" t="s">
        <v>33</v>
      </c>
      <c r="N61" t="s">
        <v>33</v>
      </c>
      <c r="O61" s="3" t="str">
        <f>IFERROR(AVERAGE(tblMain[[#This Row],[Primary_Total]],tblMain[[#This Row],[Upper_Primary_Total]],tblMain[[#This Row],[Secondary_Total]],tblMain[[#This Row],[HrSecondary_Total]]), "NULL")</f>
        <v>NULL</v>
      </c>
      <c r="P61">
        <v>95.7</v>
      </c>
      <c r="Q61">
        <v>95.2</v>
      </c>
      <c r="R61">
        <v>95.4</v>
      </c>
      <c r="S61">
        <v>98.4</v>
      </c>
      <c r="T61">
        <v>98.3</v>
      </c>
      <c r="U61">
        <v>98.3</v>
      </c>
      <c r="V61">
        <v>103.8</v>
      </c>
      <c r="W61">
        <v>101.1</v>
      </c>
      <c r="X61">
        <v>102.5</v>
      </c>
      <c r="Y61">
        <v>86</v>
      </c>
      <c r="Z61">
        <v>89.3</v>
      </c>
      <c r="AA61">
        <v>87.6</v>
      </c>
      <c r="AB61">
        <v>96.9</v>
      </c>
      <c r="AC61" s="3">
        <f>IFERROR(AVERAGE(tblMain[[#This Row],[GER_Primary_Total]],tblMain[[#This Row],[GER_Upper_Primary_Total]],tblMain[[#This Row],[GER_Secondary_Total]],tblMain[[#This Row],[GER_HrSecondary_Girls]]),"NULL")</f>
        <v>96.375</v>
      </c>
      <c r="AD61">
        <v>97.4</v>
      </c>
      <c r="AE61">
        <v>92.6</v>
      </c>
      <c r="AF61">
        <v>96.1</v>
      </c>
      <c r="AG61">
        <v>99.4</v>
      </c>
    </row>
    <row r="62" spans="1:33" x14ac:dyDescent="0.35">
      <c r="A62" t="s">
        <v>53</v>
      </c>
      <c r="B62" t="s">
        <v>36</v>
      </c>
      <c r="C62" t="s">
        <v>33</v>
      </c>
      <c r="D62" t="s">
        <v>33</v>
      </c>
      <c r="E62" t="s">
        <v>33</v>
      </c>
      <c r="F62" t="s">
        <v>33</v>
      </c>
      <c r="G62" t="s">
        <v>33</v>
      </c>
      <c r="H62" t="s">
        <v>33</v>
      </c>
      <c r="I62" t="s">
        <v>33</v>
      </c>
      <c r="J62" t="s">
        <v>33</v>
      </c>
      <c r="K62" t="s">
        <v>33</v>
      </c>
      <c r="L62" t="s">
        <v>33</v>
      </c>
      <c r="M62" t="s">
        <v>33</v>
      </c>
      <c r="N62" t="s">
        <v>33</v>
      </c>
      <c r="O62" s="3" t="str">
        <f>IFERROR(AVERAGE(tblMain[[#This Row],[Primary_Total]],tblMain[[#This Row],[Upper_Primary_Total]],tblMain[[#This Row],[Secondary_Total]],tblMain[[#This Row],[HrSecondary_Total]]), "NULL")</f>
        <v>NULL</v>
      </c>
      <c r="P62">
        <v>95.5</v>
      </c>
      <c r="Q62">
        <v>95.4</v>
      </c>
      <c r="R62">
        <v>95.4</v>
      </c>
      <c r="S62">
        <v>94.6</v>
      </c>
      <c r="T62">
        <v>96.3</v>
      </c>
      <c r="U62">
        <v>95.4</v>
      </c>
      <c r="V62">
        <v>102.3</v>
      </c>
      <c r="W62">
        <v>102.6</v>
      </c>
      <c r="X62">
        <v>102.4</v>
      </c>
      <c r="Y62">
        <v>72.900000000000006</v>
      </c>
      <c r="Z62">
        <v>82.4</v>
      </c>
      <c r="AA62">
        <v>77.599999999999994</v>
      </c>
      <c r="AB62">
        <v>98.2</v>
      </c>
      <c r="AC62" s="3">
        <f>IFERROR(AVERAGE(tblMain[[#This Row],[GER_Primary_Total]],tblMain[[#This Row],[GER_Upper_Primary_Total]],tblMain[[#This Row],[GER_Secondary_Total]],tblMain[[#This Row],[GER_HrSecondary_Girls]]),"NULL")</f>
        <v>93.9</v>
      </c>
      <c r="AD62">
        <v>99.2</v>
      </c>
      <c r="AE62">
        <v>94.5</v>
      </c>
      <c r="AF62">
        <v>97.5</v>
      </c>
      <c r="AG62">
        <v>99.7</v>
      </c>
    </row>
    <row r="63" spans="1:33" x14ac:dyDescent="0.35">
      <c r="A63" t="s">
        <v>53</v>
      </c>
      <c r="B63" t="s">
        <v>35</v>
      </c>
      <c r="C63" t="s">
        <v>33</v>
      </c>
      <c r="D63" t="s">
        <v>33</v>
      </c>
      <c r="E63" t="s">
        <v>33</v>
      </c>
      <c r="F63" t="s">
        <v>33</v>
      </c>
      <c r="G63" t="s">
        <v>33</v>
      </c>
      <c r="H63" t="s">
        <v>33</v>
      </c>
      <c r="I63" t="s">
        <v>33</v>
      </c>
      <c r="J63" t="s">
        <v>33</v>
      </c>
      <c r="K63" t="s">
        <v>33</v>
      </c>
      <c r="L63" t="s">
        <v>33</v>
      </c>
      <c r="M63" t="s">
        <v>33</v>
      </c>
      <c r="N63" t="s">
        <v>33</v>
      </c>
      <c r="O63" s="3" t="str">
        <f>IFERROR(AVERAGE(tblMain[[#This Row],[Primary_Total]],tblMain[[#This Row],[Upper_Primary_Total]],tblMain[[#This Row],[Secondary_Total]],tblMain[[#This Row],[HrSecondary_Total]]), "NULL")</f>
        <v>NULL</v>
      </c>
      <c r="P63">
        <v>95.2</v>
      </c>
      <c r="Q63">
        <v>95</v>
      </c>
      <c r="R63">
        <v>95.1</v>
      </c>
      <c r="S63">
        <v>96.5</v>
      </c>
      <c r="T63">
        <v>97.3</v>
      </c>
      <c r="U63">
        <v>96.9</v>
      </c>
      <c r="V63">
        <v>103.6</v>
      </c>
      <c r="W63">
        <v>102.8</v>
      </c>
      <c r="X63">
        <v>103.2</v>
      </c>
      <c r="Y63">
        <v>73.7</v>
      </c>
      <c r="Z63">
        <v>80.099999999999994</v>
      </c>
      <c r="AA63">
        <v>76.900000000000006</v>
      </c>
      <c r="AB63">
        <v>97</v>
      </c>
      <c r="AC63" s="3">
        <f>IFERROR(AVERAGE(tblMain[[#This Row],[GER_Primary_Total]],tblMain[[#This Row],[GER_Upper_Primary_Total]],tblMain[[#This Row],[GER_Secondary_Total]],tblMain[[#This Row],[GER_HrSecondary_Girls]]),"NULL")</f>
        <v>93.824999999999989</v>
      </c>
      <c r="AD63">
        <v>97.8</v>
      </c>
      <c r="AE63">
        <v>93.8</v>
      </c>
      <c r="AF63">
        <v>97</v>
      </c>
      <c r="AG63">
        <v>99.6</v>
      </c>
    </row>
    <row r="64" spans="1:33" x14ac:dyDescent="0.35">
      <c r="A64" t="s">
        <v>54</v>
      </c>
      <c r="B64" t="s">
        <v>34</v>
      </c>
      <c r="C64" t="s">
        <v>33</v>
      </c>
      <c r="D64" t="s">
        <v>33</v>
      </c>
      <c r="E64" t="s">
        <v>33</v>
      </c>
      <c r="F64" t="s">
        <v>33</v>
      </c>
      <c r="G64" t="s">
        <v>33</v>
      </c>
      <c r="H64" t="s">
        <v>33</v>
      </c>
      <c r="I64" t="s">
        <v>33</v>
      </c>
      <c r="J64" t="s">
        <v>33</v>
      </c>
      <c r="K64" t="s">
        <v>33</v>
      </c>
      <c r="L64" t="s">
        <v>33</v>
      </c>
      <c r="M64" t="s">
        <v>33</v>
      </c>
      <c r="N64" t="s">
        <v>33</v>
      </c>
      <c r="O64" s="3" t="str">
        <f>IFERROR(AVERAGE(tblMain[[#This Row],[Primary_Total]],tblMain[[#This Row],[Upper_Primary_Total]],tblMain[[#This Row],[Secondary_Total]],tblMain[[#This Row],[HrSecondary_Total]]), "NULL")</f>
        <v>NULL</v>
      </c>
      <c r="P64">
        <v>83.4</v>
      </c>
      <c r="Q64">
        <v>77.8</v>
      </c>
      <c r="R64">
        <v>80.599999999999994</v>
      </c>
      <c r="S64">
        <v>100.5</v>
      </c>
      <c r="T64">
        <v>94.1</v>
      </c>
      <c r="U64">
        <v>97.1</v>
      </c>
      <c r="V64">
        <v>119.6</v>
      </c>
      <c r="W64">
        <v>135.4</v>
      </c>
      <c r="X64">
        <v>127.6</v>
      </c>
      <c r="Y64">
        <v>110.1</v>
      </c>
      <c r="Z64">
        <v>80.900000000000006</v>
      </c>
      <c r="AA64">
        <v>94.7</v>
      </c>
      <c r="AB64">
        <v>100</v>
      </c>
      <c r="AC64" s="3">
        <f>IFERROR(AVERAGE(tblMain[[#This Row],[GER_Primary_Total]],tblMain[[#This Row],[GER_Upper_Primary_Total]],tblMain[[#This Row],[GER_Secondary_Total]],tblMain[[#This Row],[GER_HrSecondary_Girls]]),"NULL")</f>
        <v>96.549999999999983</v>
      </c>
      <c r="AD64">
        <v>100</v>
      </c>
      <c r="AE64">
        <v>100</v>
      </c>
      <c r="AF64">
        <v>100</v>
      </c>
      <c r="AG64">
        <v>100</v>
      </c>
    </row>
    <row r="65" spans="1:33" x14ac:dyDescent="0.35">
      <c r="A65" t="s">
        <v>54</v>
      </c>
      <c r="B65" t="s">
        <v>36</v>
      </c>
      <c r="C65" t="s">
        <v>33</v>
      </c>
      <c r="D65" t="s">
        <v>33</v>
      </c>
      <c r="E65" t="s">
        <v>33</v>
      </c>
      <c r="F65" t="s">
        <v>33</v>
      </c>
      <c r="G65" t="s">
        <v>33</v>
      </c>
      <c r="H65" t="s">
        <v>33</v>
      </c>
      <c r="I65" t="s">
        <v>33</v>
      </c>
      <c r="J65" t="s">
        <v>33</v>
      </c>
      <c r="K65" t="s">
        <v>33</v>
      </c>
      <c r="L65" t="s">
        <v>33</v>
      </c>
      <c r="M65" t="s">
        <v>33</v>
      </c>
      <c r="N65" t="s">
        <v>33</v>
      </c>
      <c r="O65" s="3" t="str">
        <f>IFERROR(AVERAGE(tblMain[[#This Row],[Primary_Total]],tblMain[[#This Row],[Upper_Primary_Total]],tblMain[[#This Row],[Secondary_Total]],tblMain[[#This Row],[HrSecondary_Total]]), "NULL")</f>
        <v>NULL</v>
      </c>
      <c r="P65">
        <v>77.900000000000006</v>
      </c>
      <c r="Q65">
        <v>69.900000000000006</v>
      </c>
      <c r="R65">
        <v>73.8</v>
      </c>
      <c r="S65">
        <v>92.5</v>
      </c>
      <c r="T65">
        <v>75.7</v>
      </c>
      <c r="U65">
        <v>83.3</v>
      </c>
      <c r="V65">
        <v>105.4</v>
      </c>
      <c r="W65">
        <v>102.1</v>
      </c>
      <c r="X65">
        <v>103.7</v>
      </c>
      <c r="Y65">
        <v>93.2</v>
      </c>
      <c r="Z65">
        <v>102.4</v>
      </c>
      <c r="AA65">
        <v>98.2</v>
      </c>
      <c r="AB65">
        <v>100</v>
      </c>
      <c r="AC65" s="3">
        <f>IFERROR(AVERAGE(tblMain[[#This Row],[GER_Primary_Total]],tblMain[[#This Row],[GER_Upper_Primary_Total]],tblMain[[#This Row],[GER_Secondary_Total]],tblMain[[#This Row],[GER_HrSecondary_Girls]]),"NULL")</f>
        <v>90.800000000000011</v>
      </c>
      <c r="AD65">
        <v>100</v>
      </c>
      <c r="AE65">
        <v>100</v>
      </c>
      <c r="AF65">
        <v>100</v>
      </c>
      <c r="AG65">
        <v>100</v>
      </c>
    </row>
    <row r="66" spans="1:33" x14ac:dyDescent="0.35">
      <c r="A66" t="s">
        <v>54</v>
      </c>
      <c r="B66" t="s">
        <v>35</v>
      </c>
      <c r="C66" t="s">
        <v>33</v>
      </c>
      <c r="D66" t="s">
        <v>33</v>
      </c>
      <c r="E66" t="s">
        <v>33</v>
      </c>
      <c r="F66" t="s">
        <v>33</v>
      </c>
      <c r="G66" t="s">
        <v>33</v>
      </c>
      <c r="H66" t="s">
        <v>33</v>
      </c>
      <c r="I66" t="s">
        <v>33</v>
      </c>
      <c r="J66" t="s">
        <v>33</v>
      </c>
      <c r="K66" t="s">
        <v>33</v>
      </c>
      <c r="L66" t="s">
        <v>33</v>
      </c>
      <c r="M66" t="s">
        <v>33</v>
      </c>
      <c r="N66" t="s">
        <v>33</v>
      </c>
      <c r="O66" s="3" t="str">
        <f>IFERROR(AVERAGE(tblMain[[#This Row],[Primary_Total]],tblMain[[#This Row],[Upper_Primary_Total]],tblMain[[#This Row],[Secondary_Total]],tblMain[[#This Row],[HrSecondary_Total]]), "NULL")</f>
        <v>NULL</v>
      </c>
      <c r="P66">
        <v>78.8</v>
      </c>
      <c r="Q66">
        <v>74.2</v>
      </c>
      <c r="R66">
        <v>76.5</v>
      </c>
      <c r="S66">
        <v>96.2</v>
      </c>
      <c r="T66">
        <v>84.7</v>
      </c>
      <c r="U66">
        <v>90</v>
      </c>
      <c r="V66">
        <v>117.9</v>
      </c>
      <c r="W66">
        <v>127.9</v>
      </c>
      <c r="X66">
        <v>123</v>
      </c>
      <c r="Y66">
        <v>91.5</v>
      </c>
      <c r="Z66">
        <v>81.2</v>
      </c>
      <c r="AA66">
        <v>86</v>
      </c>
      <c r="AB66">
        <v>100</v>
      </c>
      <c r="AC66" s="3">
        <f>IFERROR(AVERAGE(tblMain[[#This Row],[GER_Primary_Total]],tblMain[[#This Row],[GER_Upper_Primary_Total]],tblMain[[#This Row],[GER_Secondary_Total]],tblMain[[#This Row],[GER_HrSecondary_Girls]]),"NULL")</f>
        <v>92.674999999999997</v>
      </c>
      <c r="AD66">
        <v>100</v>
      </c>
      <c r="AE66">
        <v>100</v>
      </c>
      <c r="AF66">
        <v>100</v>
      </c>
      <c r="AG66">
        <v>100</v>
      </c>
    </row>
    <row r="67" spans="1:33" x14ac:dyDescent="0.35">
      <c r="A67" t="s">
        <v>55</v>
      </c>
      <c r="B67" t="s">
        <v>34</v>
      </c>
      <c r="C67">
        <v>9.9</v>
      </c>
      <c r="D67">
        <v>10.4</v>
      </c>
      <c r="E67">
        <v>10.1</v>
      </c>
      <c r="F67">
        <v>9.9</v>
      </c>
      <c r="G67">
        <v>13.6</v>
      </c>
      <c r="H67">
        <v>11.7</v>
      </c>
      <c r="I67">
        <v>25.2</v>
      </c>
      <c r="J67">
        <v>27.9</v>
      </c>
      <c r="K67">
        <v>26.5</v>
      </c>
      <c r="L67">
        <v>0.5</v>
      </c>
      <c r="M67">
        <v>2.8</v>
      </c>
      <c r="N67">
        <v>1.6</v>
      </c>
      <c r="O67" s="3">
        <f>IFERROR(AVERAGE(tblMain[[#This Row],[Primary_Total]],tblMain[[#This Row],[Upper_Primary_Total]],tblMain[[#This Row],[Secondary_Total]],tblMain[[#This Row],[HrSecondary_Total]]), "NULL")</f>
        <v>12.475</v>
      </c>
      <c r="P67">
        <v>111.9</v>
      </c>
      <c r="Q67">
        <v>111.1</v>
      </c>
      <c r="R67">
        <v>111.5</v>
      </c>
      <c r="S67">
        <v>96</v>
      </c>
      <c r="T67">
        <v>105.9</v>
      </c>
      <c r="U67">
        <v>100.7</v>
      </c>
      <c r="V67">
        <v>84.2</v>
      </c>
      <c r="W67">
        <v>82.5</v>
      </c>
      <c r="X67">
        <v>83.4</v>
      </c>
      <c r="Y67">
        <v>47.3</v>
      </c>
      <c r="Z67">
        <v>41.9</v>
      </c>
      <c r="AA67">
        <v>44.8</v>
      </c>
      <c r="AB67">
        <v>92.6</v>
      </c>
      <c r="AC67" s="3">
        <f>IFERROR(AVERAGE(tblMain[[#This Row],[GER_Primary_Total]],tblMain[[#This Row],[GER_Upper_Primary_Total]],tblMain[[#This Row],[GER_Secondary_Total]],tblMain[[#This Row],[GER_HrSecondary_Girls]]),"NULL")</f>
        <v>84.375</v>
      </c>
      <c r="AD67">
        <v>93</v>
      </c>
      <c r="AE67">
        <v>13</v>
      </c>
      <c r="AF67">
        <v>28.3</v>
      </c>
      <c r="AG67">
        <v>96.1</v>
      </c>
    </row>
    <row r="68" spans="1:33" x14ac:dyDescent="0.35">
      <c r="A68" t="s">
        <v>55</v>
      </c>
      <c r="B68" t="s">
        <v>36</v>
      </c>
      <c r="C68" t="s">
        <v>33</v>
      </c>
      <c r="D68" t="s">
        <v>33</v>
      </c>
      <c r="E68" t="s">
        <v>33</v>
      </c>
      <c r="F68" t="s">
        <v>33</v>
      </c>
      <c r="G68" t="s">
        <v>33</v>
      </c>
      <c r="H68" t="s">
        <v>33</v>
      </c>
      <c r="I68" t="s">
        <v>33</v>
      </c>
      <c r="J68" t="s">
        <v>33</v>
      </c>
      <c r="K68" t="s">
        <v>33</v>
      </c>
      <c r="L68" t="s">
        <v>33</v>
      </c>
      <c r="M68" t="s">
        <v>33</v>
      </c>
      <c r="N68" t="s">
        <v>33</v>
      </c>
      <c r="O68" s="3" t="str">
        <f>IFERROR(AVERAGE(tblMain[[#This Row],[Primary_Total]],tblMain[[#This Row],[Upper_Primary_Total]],tblMain[[#This Row],[Secondary_Total]],tblMain[[#This Row],[HrSecondary_Total]]), "NULL")</f>
        <v>NULL</v>
      </c>
      <c r="P68">
        <v>95.4</v>
      </c>
      <c r="Q68">
        <v>93.5</v>
      </c>
      <c r="R68">
        <v>94.5</v>
      </c>
      <c r="S68">
        <v>90.5</v>
      </c>
      <c r="T68">
        <v>98.1</v>
      </c>
      <c r="U68">
        <v>94</v>
      </c>
      <c r="V68">
        <v>81.5</v>
      </c>
      <c r="W68">
        <v>79.3</v>
      </c>
      <c r="X68">
        <v>80.5</v>
      </c>
      <c r="Y68">
        <v>47</v>
      </c>
      <c r="Z68">
        <v>43.2</v>
      </c>
      <c r="AA68">
        <v>45.3</v>
      </c>
      <c r="AB68">
        <v>96.2</v>
      </c>
      <c r="AC68" s="3">
        <f>IFERROR(AVERAGE(tblMain[[#This Row],[GER_Primary_Total]],tblMain[[#This Row],[GER_Upper_Primary_Total]],tblMain[[#This Row],[GER_Secondary_Total]],tblMain[[#This Row],[GER_HrSecondary_Girls]]),"NULL")</f>
        <v>78.05</v>
      </c>
      <c r="AD68">
        <v>96.7</v>
      </c>
      <c r="AE68">
        <v>15.2</v>
      </c>
      <c r="AF68">
        <v>28.8</v>
      </c>
      <c r="AG68">
        <v>96.4</v>
      </c>
    </row>
    <row r="69" spans="1:33" x14ac:dyDescent="0.35">
      <c r="A69" t="s">
        <v>55</v>
      </c>
      <c r="B69" t="s">
        <v>35</v>
      </c>
      <c r="C69" t="s">
        <v>33</v>
      </c>
      <c r="D69" t="s">
        <v>33</v>
      </c>
      <c r="E69" t="s">
        <v>33</v>
      </c>
      <c r="F69" t="s">
        <v>33</v>
      </c>
      <c r="G69" t="s">
        <v>33</v>
      </c>
      <c r="H69" t="s">
        <v>33</v>
      </c>
      <c r="I69" t="s">
        <v>33</v>
      </c>
      <c r="J69" t="s">
        <v>33</v>
      </c>
      <c r="K69" t="s">
        <v>33</v>
      </c>
      <c r="L69" t="s">
        <v>33</v>
      </c>
      <c r="M69" t="s">
        <v>33</v>
      </c>
      <c r="N69" t="s">
        <v>33</v>
      </c>
      <c r="O69" s="3" t="str">
        <f>IFERROR(AVERAGE(tblMain[[#This Row],[Primary_Total]],tblMain[[#This Row],[Upper_Primary_Total]],tblMain[[#This Row],[Secondary_Total]],tblMain[[#This Row],[HrSecondary_Total]]), "NULL")</f>
        <v>NULL</v>
      </c>
      <c r="P69">
        <v>101.9</v>
      </c>
      <c r="Q69">
        <v>100.2</v>
      </c>
      <c r="R69">
        <v>101.1</v>
      </c>
      <c r="S69">
        <v>92.7</v>
      </c>
      <c r="T69">
        <v>101.2</v>
      </c>
      <c r="U69">
        <v>96.6</v>
      </c>
      <c r="V69">
        <v>81</v>
      </c>
      <c r="W69">
        <v>79.3</v>
      </c>
      <c r="X69">
        <v>80.2</v>
      </c>
      <c r="Y69">
        <v>47.8</v>
      </c>
      <c r="Z69">
        <v>42.9</v>
      </c>
      <c r="AA69">
        <v>45.5</v>
      </c>
      <c r="AB69">
        <v>89.7</v>
      </c>
      <c r="AC69" s="3">
        <f>IFERROR(AVERAGE(tblMain[[#This Row],[GER_Primary_Total]],tblMain[[#This Row],[GER_Upper_Primary_Total]],tblMain[[#This Row],[GER_Secondary_Total]],tblMain[[#This Row],[GER_HrSecondary_Girls]]),"NULL")</f>
        <v>80.199999999999989</v>
      </c>
      <c r="AD69">
        <v>89.6</v>
      </c>
      <c r="AE69">
        <v>14.6</v>
      </c>
      <c r="AF69">
        <v>28.3</v>
      </c>
      <c r="AG69">
        <v>96.2</v>
      </c>
    </row>
    <row r="70" spans="1:33" x14ac:dyDescent="0.35">
      <c r="A70" t="s">
        <v>56</v>
      </c>
      <c r="B70" t="s">
        <v>32</v>
      </c>
      <c r="C70">
        <v>0.9</v>
      </c>
      <c r="D70">
        <v>1.1000000000000001</v>
      </c>
      <c r="E70">
        <v>1</v>
      </c>
      <c r="F70">
        <v>0.9</v>
      </c>
      <c r="G70">
        <v>2.7</v>
      </c>
      <c r="H70">
        <v>1.7</v>
      </c>
      <c r="I70">
        <v>16.600000000000001</v>
      </c>
      <c r="J70">
        <v>15.7</v>
      </c>
      <c r="K70">
        <v>16.2</v>
      </c>
      <c r="L70">
        <v>2.6</v>
      </c>
      <c r="M70">
        <v>3.9</v>
      </c>
      <c r="N70">
        <v>3.2</v>
      </c>
      <c r="O70" s="3">
        <f>IFERROR(AVERAGE(tblMain[[#This Row],[Primary_Total]],tblMain[[#This Row],[Upper_Primary_Total]],tblMain[[#This Row],[Secondary_Total]],tblMain[[#This Row],[HrSecondary_Total]]), "NULL")</f>
        <v>5.5249999999999995</v>
      </c>
      <c r="P70" t="s">
        <v>33</v>
      </c>
      <c r="Q70" t="s">
        <v>33</v>
      </c>
      <c r="R70" t="s">
        <v>33</v>
      </c>
      <c r="S70" t="s">
        <v>33</v>
      </c>
      <c r="T70" t="s">
        <v>33</v>
      </c>
      <c r="U70" t="s">
        <v>33</v>
      </c>
      <c r="V70" t="s">
        <v>33</v>
      </c>
      <c r="W70" t="s">
        <v>33</v>
      </c>
      <c r="X70" t="s">
        <v>33</v>
      </c>
      <c r="Y70" t="s">
        <v>33</v>
      </c>
      <c r="Z70" t="s">
        <v>33</v>
      </c>
      <c r="AA70" t="s">
        <v>33</v>
      </c>
      <c r="AB70" t="s">
        <v>33</v>
      </c>
      <c r="AC70" t="str">
        <f>IFERROR(AVERAGE(tblMain[[#This Row],[GER_Primary_Total]],tblMain[[#This Row],[GER_Upper_Primary_Total]],tblMain[[#This Row],[GER_Secondary_Total]],tblMain[[#This Row],[GER_HrSecondary_Girls]]),"NULL")</f>
        <v>NULL</v>
      </c>
      <c r="AD70" t="s">
        <v>33</v>
      </c>
      <c r="AE70" t="s">
        <v>33</v>
      </c>
      <c r="AF70" t="s">
        <v>33</v>
      </c>
      <c r="AG70" t="s">
        <v>33</v>
      </c>
    </row>
    <row r="71" spans="1:33" x14ac:dyDescent="0.35">
      <c r="A71" t="s">
        <v>56</v>
      </c>
      <c r="B71" t="s">
        <v>34</v>
      </c>
      <c r="C71">
        <v>0.5</v>
      </c>
      <c r="D71">
        <v>0.6</v>
      </c>
      <c r="E71">
        <v>0.6</v>
      </c>
      <c r="F71">
        <v>4.9000000000000004</v>
      </c>
      <c r="G71">
        <v>1.5</v>
      </c>
      <c r="H71">
        <v>0.6</v>
      </c>
      <c r="I71">
        <v>15</v>
      </c>
      <c r="J71">
        <v>13.8</v>
      </c>
      <c r="K71">
        <v>14.5</v>
      </c>
      <c r="L71">
        <v>2.9</v>
      </c>
      <c r="M71">
        <v>3.9</v>
      </c>
      <c r="N71">
        <v>3.3</v>
      </c>
      <c r="O71" s="3">
        <f>IFERROR(AVERAGE(tblMain[[#This Row],[Primary_Total]],tblMain[[#This Row],[Upper_Primary_Total]],tblMain[[#This Row],[Secondary_Total]],tblMain[[#This Row],[HrSecondary_Total]]), "NULL")</f>
        <v>4.75</v>
      </c>
      <c r="P71">
        <v>99.9</v>
      </c>
      <c r="Q71">
        <v>99.7</v>
      </c>
      <c r="R71">
        <v>99.8</v>
      </c>
      <c r="S71">
        <v>96.9</v>
      </c>
      <c r="T71">
        <v>96.8</v>
      </c>
      <c r="U71">
        <v>96.7</v>
      </c>
      <c r="V71">
        <v>87.5</v>
      </c>
      <c r="W71">
        <v>83.4</v>
      </c>
      <c r="X71">
        <v>85.6</v>
      </c>
      <c r="Y71">
        <v>58.9</v>
      </c>
      <c r="Z71">
        <v>58.7</v>
      </c>
      <c r="AA71">
        <v>58.8</v>
      </c>
      <c r="AB71">
        <v>98.3</v>
      </c>
      <c r="AC71" s="3">
        <f>IFERROR(AVERAGE(tblMain[[#This Row],[GER_Primary_Total]],tblMain[[#This Row],[GER_Upper_Primary_Total]],tblMain[[#This Row],[GER_Secondary_Total]],tblMain[[#This Row],[GER_HrSecondary_Girls]]),"NULL")</f>
        <v>85.2</v>
      </c>
      <c r="AD71">
        <v>98.5</v>
      </c>
      <c r="AE71">
        <v>52.8</v>
      </c>
      <c r="AF71">
        <v>92.8</v>
      </c>
      <c r="AG71">
        <v>99.3</v>
      </c>
    </row>
    <row r="72" spans="1:33" x14ac:dyDescent="0.35">
      <c r="A72" t="s">
        <v>56</v>
      </c>
      <c r="B72" t="s">
        <v>35</v>
      </c>
      <c r="C72">
        <v>1.3</v>
      </c>
      <c r="D72">
        <v>1.3</v>
      </c>
      <c r="E72">
        <v>1.3</v>
      </c>
      <c r="F72">
        <v>0.9</v>
      </c>
      <c r="G72">
        <v>2.8</v>
      </c>
      <c r="H72">
        <v>1.8</v>
      </c>
      <c r="I72">
        <v>13.1</v>
      </c>
      <c r="J72">
        <v>12.6</v>
      </c>
      <c r="K72">
        <v>12.9</v>
      </c>
      <c r="L72">
        <v>2</v>
      </c>
      <c r="M72">
        <v>1.6</v>
      </c>
      <c r="N72">
        <v>1.8</v>
      </c>
      <c r="O72" s="3">
        <f>IFERROR(AVERAGE(tblMain[[#This Row],[Primary_Total]],tblMain[[#This Row],[Upper_Primary_Total]],tblMain[[#This Row],[Secondary_Total]],tblMain[[#This Row],[HrSecondary_Total]]), "NULL")</f>
        <v>4.45</v>
      </c>
      <c r="P72">
        <v>99</v>
      </c>
      <c r="Q72">
        <v>98.9</v>
      </c>
      <c r="R72">
        <v>99</v>
      </c>
      <c r="S72">
        <v>97.9</v>
      </c>
      <c r="T72">
        <v>99.9</v>
      </c>
      <c r="U72">
        <v>98.8</v>
      </c>
      <c r="V72">
        <v>91.1</v>
      </c>
      <c r="W72">
        <v>87.3</v>
      </c>
      <c r="X72">
        <v>89.3</v>
      </c>
      <c r="Y72">
        <v>62.9</v>
      </c>
      <c r="Z72">
        <v>61.5</v>
      </c>
      <c r="AA72">
        <v>62.2</v>
      </c>
      <c r="AB72">
        <v>99.2</v>
      </c>
      <c r="AC72" s="3">
        <f>IFERROR(AVERAGE(tblMain[[#This Row],[GER_Primary_Total]],tblMain[[#This Row],[GER_Upper_Primary_Total]],tblMain[[#This Row],[GER_Secondary_Total]],tblMain[[#This Row],[GER_HrSecondary_Girls]]),"NULL")</f>
        <v>87.15</v>
      </c>
      <c r="AD72">
        <v>99.3</v>
      </c>
      <c r="AE72">
        <v>57.1</v>
      </c>
      <c r="AF72">
        <v>93.9</v>
      </c>
      <c r="AG72">
        <v>99.6</v>
      </c>
    </row>
    <row r="73" spans="1:33" x14ac:dyDescent="0.35">
      <c r="A73" t="s">
        <v>56</v>
      </c>
      <c r="B73" t="s">
        <v>36</v>
      </c>
      <c r="C73" t="s">
        <v>33</v>
      </c>
      <c r="D73" t="s">
        <v>33</v>
      </c>
      <c r="E73" t="s">
        <v>33</v>
      </c>
      <c r="F73" t="s">
        <v>33</v>
      </c>
      <c r="G73" t="s">
        <v>33</v>
      </c>
      <c r="H73" t="s">
        <v>33</v>
      </c>
      <c r="I73" t="s">
        <v>33</v>
      </c>
      <c r="J73" t="s">
        <v>33</v>
      </c>
      <c r="K73" t="s">
        <v>33</v>
      </c>
      <c r="L73" t="s">
        <v>33</v>
      </c>
      <c r="M73" t="s">
        <v>33</v>
      </c>
      <c r="N73" t="s">
        <v>33</v>
      </c>
      <c r="O73" s="3" t="str">
        <f>IFERROR(AVERAGE(tblMain[[#This Row],[Primary_Total]],tblMain[[#This Row],[Upper_Primary_Total]],tblMain[[#This Row],[Secondary_Total]],tblMain[[#This Row],[HrSecondary_Total]]), "NULL")</f>
        <v>NULL</v>
      </c>
      <c r="P73">
        <v>97.9</v>
      </c>
      <c r="Q73">
        <v>97.6</v>
      </c>
      <c r="R73">
        <v>97.7</v>
      </c>
      <c r="S73">
        <v>97.4</v>
      </c>
      <c r="T73">
        <v>101.4</v>
      </c>
      <c r="U73">
        <v>99.2</v>
      </c>
      <c r="V73">
        <v>92</v>
      </c>
      <c r="W73">
        <v>87.6</v>
      </c>
      <c r="X73">
        <v>90</v>
      </c>
      <c r="Y73">
        <v>68.7</v>
      </c>
      <c r="Z73">
        <v>66.7</v>
      </c>
      <c r="AA73">
        <v>67.8</v>
      </c>
      <c r="AB73">
        <v>99.2</v>
      </c>
      <c r="AC73" s="3">
        <f>IFERROR(AVERAGE(tblMain[[#This Row],[GER_Primary_Total]],tblMain[[#This Row],[GER_Upper_Primary_Total]],tblMain[[#This Row],[GER_Secondary_Total]],tblMain[[#This Row],[GER_HrSecondary_Girls]]),"NULL")</f>
        <v>88.399999999999991</v>
      </c>
      <c r="AD73">
        <v>99.4</v>
      </c>
      <c r="AE73">
        <v>59.7</v>
      </c>
      <c r="AF73">
        <v>93.9</v>
      </c>
      <c r="AG73">
        <v>99.7</v>
      </c>
    </row>
    <row r="74" spans="1:33" x14ac:dyDescent="0.35">
      <c r="A74" t="s">
        <v>57</v>
      </c>
      <c r="B74" t="s">
        <v>32</v>
      </c>
      <c r="C74">
        <v>10.199999999999999</v>
      </c>
      <c r="D74">
        <v>9.5</v>
      </c>
      <c r="E74">
        <v>9.9</v>
      </c>
      <c r="F74">
        <v>5.5</v>
      </c>
      <c r="G74">
        <v>6.7</v>
      </c>
      <c r="H74">
        <v>6.1</v>
      </c>
      <c r="I74">
        <v>8.1999999999999993</v>
      </c>
      <c r="J74">
        <v>11.4</v>
      </c>
      <c r="K74">
        <v>9.8000000000000007</v>
      </c>
      <c r="L74">
        <v>6</v>
      </c>
      <c r="M74">
        <v>10.1</v>
      </c>
      <c r="N74">
        <v>7.9</v>
      </c>
      <c r="O74" s="3">
        <f>IFERROR(AVERAGE(tblMain[[#This Row],[Primary_Total]],tblMain[[#This Row],[Upper_Primary_Total]],tblMain[[#This Row],[Secondary_Total]],tblMain[[#This Row],[HrSecondary_Total]]), "NULL")</f>
        <v>8.4250000000000007</v>
      </c>
      <c r="P74" t="s">
        <v>33</v>
      </c>
      <c r="Q74" t="s">
        <v>33</v>
      </c>
      <c r="R74" t="s">
        <v>33</v>
      </c>
      <c r="S74" t="s">
        <v>33</v>
      </c>
      <c r="T74" t="s">
        <v>33</v>
      </c>
      <c r="U74" t="s">
        <v>33</v>
      </c>
      <c r="V74" t="s">
        <v>33</v>
      </c>
      <c r="W74" t="s">
        <v>33</v>
      </c>
      <c r="X74" t="s">
        <v>33</v>
      </c>
      <c r="Y74" t="s">
        <v>33</v>
      </c>
      <c r="Z74" t="s">
        <v>33</v>
      </c>
      <c r="AA74" t="s">
        <v>33</v>
      </c>
      <c r="AB74" t="s">
        <v>33</v>
      </c>
      <c r="AC74" t="str">
        <f>IFERROR(AVERAGE(tblMain[[#This Row],[GER_Primary_Total]],tblMain[[#This Row],[GER_Upper_Primary_Total]],tblMain[[#This Row],[GER_Secondary_Total]],tblMain[[#This Row],[GER_HrSecondary_Girls]]),"NULL")</f>
        <v>NULL</v>
      </c>
      <c r="AD74" t="s">
        <v>33</v>
      </c>
      <c r="AE74" t="s">
        <v>33</v>
      </c>
      <c r="AF74" t="s">
        <v>33</v>
      </c>
      <c r="AG74" t="s">
        <v>33</v>
      </c>
    </row>
    <row r="75" spans="1:33" x14ac:dyDescent="0.35">
      <c r="A75" t="s">
        <v>57</v>
      </c>
      <c r="B75" t="s">
        <v>34</v>
      </c>
      <c r="C75">
        <v>17.3</v>
      </c>
      <c r="D75">
        <v>18.7</v>
      </c>
      <c r="E75">
        <v>18</v>
      </c>
      <c r="F75">
        <v>7.5</v>
      </c>
      <c r="G75">
        <v>6.5</v>
      </c>
      <c r="H75">
        <v>7</v>
      </c>
      <c r="I75">
        <v>12.4</v>
      </c>
      <c r="J75">
        <v>15.3</v>
      </c>
      <c r="K75">
        <v>13.8</v>
      </c>
      <c r="L75">
        <v>3.3</v>
      </c>
      <c r="M75">
        <v>3.1</v>
      </c>
      <c r="N75">
        <v>3.2</v>
      </c>
      <c r="O75" s="3">
        <f>IFERROR(AVERAGE(tblMain[[#This Row],[Primary_Total]],tblMain[[#This Row],[Upper_Primary_Total]],tblMain[[#This Row],[Secondary_Total]],tblMain[[#This Row],[HrSecondary_Total]]), "NULL")</f>
        <v>10.5</v>
      </c>
      <c r="P75">
        <v>145.69999999999999</v>
      </c>
      <c r="Q75">
        <v>152.80000000000001</v>
      </c>
      <c r="R75">
        <v>149.19999999999999</v>
      </c>
      <c r="S75">
        <v>111.6</v>
      </c>
      <c r="T75">
        <v>115.1</v>
      </c>
      <c r="U75">
        <v>113.3</v>
      </c>
      <c r="V75">
        <v>84.8</v>
      </c>
      <c r="W75">
        <v>83.8</v>
      </c>
      <c r="X75">
        <v>84.3</v>
      </c>
      <c r="Y75">
        <v>65.5</v>
      </c>
      <c r="Z75">
        <v>58.9</v>
      </c>
      <c r="AA75">
        <v>62.2</v>
      </c>
      <c r="AB75">
        <v>95.3</v>
      </c>
      <c r="AC75" s="3">
        <f>IFERROR(AVERAGE(tblMain[[#This Row],[GER_Primary_Total]],tblMain[[#This Row],[GER_Upper_Primary_Total]],tblMain[[#This Row],[GER_Secondary_Total]],tblMain[[#This Row],[GER_HrSecondary_Girls]]),"NULL")</f>
        <v>101.425</v>
      </c>
      <c r="AD75">
        <v>98.2</v>
      </c>
      <c r="AE75">
        <v>25.6</v>
      </c>
      <c r="AF75">
        <v>31</v>
      </c>
      <c r="AG75">
        <v>89.1</v>
      </c>
    </row>
    <row r="76" spans="1:33" x14ac:dyDescent="0.35">
      <c r="A76" t="s">
        <v>57</v>
      </c>
      <c r="B76" t="s">
        <v>36</v>
      </c>
      <c r="C76" t="s">
        <v>33</v>
      </c>
      <c r="D76" t="s">
        <v>33</v>
      </c>
      <c r="E76" t="s">
        <v>33</v>
      </c>
      <c r="F76" t="s">
        <v>33</v>
      </c>
      <c r="G76" t="s">
        <v>33</v>
      </c>
      <c r="H76" t="s">
        <v>33</v>
      </c>
      <c r="I76" t="s">
        <v>33</v>
      </c>
      <c r="J76" t="s">
        <v>33</v>
      </c>
      <c r="K76" t="s">
        <v>33</v>
      </c>
      <c r="L76" t="s">
        <v>33</v>
      </c>
      <c r="M76" t="s">
        <v>33</v>
      </c>
      <c r="N76" t="s">
        <v>33</v>
      </c>
      <c r="O76" s="3" t="str">
        <f>IFERROR(AVERAGE(tblMain[[#This Row],[Primary_Total]],tblMain[[#This Row],[Upper_Primary_Total]],tblMain[[#This Row],[Secondary_Total]],tblMain[[#This Row],[HrSecondary_Total]]), "NULL")</f>
        <v>NULL</v>
      </c>
      <c r="P76">
        <v>128.9</v>
      </c>
      <c r="Q76">
        <v>132.9</v>
      </c>
      <c r="R76">
        <v>130.9</v>
      </c>
      <c r="S76">
        <v>127</v>
      </c>
      <c r="T76">
        <v>132.9</v>
      </c>
      <c r="U76">
        <v>129.9</v>
      </c>
      <c r="V76">
        <v>93.6</v>
      </c>
      <c r="W76">
        <v>92.5</v>
      </c>
      <c r="X76">
        <v>93.1</v>
      </c>
      <c r="Y76">
        <v>71.099999999999994</v>
      </c>
      <c r="Z76">
        <v>64.8</v>
      </c>
      <c r="AA76">
        <v>68</v>
      </c>
      <c r="AB76">
        <v>98.7</v>
      </c>
      <c r="AC76" s="3">
        <f>IFERROR(AVERAGE(tblMain[[#This Row],[GER_Primary_Total]],tblMain[[#This Row],[GER_Upper_Primary_Total]],tblMain[[#This Row],[GER_Secondary_Total]],tblMain[[#This Row],[GER_HrSecondary_Girls]]),"NULL")</f>
        <v>104.675</v>
      </c>
      <c r="AD76">
        <v>98.7</v>
      </c>
      <c r="AE76">
        <v>27.2</v>
      </c>
      <c r="AF76">
        <v>39.299999999999997</v>
      </c>
      <c r="AG76">
        <v>99.6</v>
      </c>
    </row>
    <row r="77" spans="1:33" x14ac:dyDescent="0.35">
      <c r="A77" t="s">
        <v>57</v>
      </c>
      <c r="B77" t="s">
        <v>35</v>
      </c>
      <c r="C77" t="s">
        <v>33</v>
      </c>
      <c r="D77" t="s">
        <v>33</v>
      </c>
      <c r="E77" t="s">
        <v>33</v>
      </c>
      <c r="F77" t="s">
        <v>33</v>
      </c>
      <c r="G77" t="s">
        <v>33</v>
      </c>
      <c r="H77" t="s">
        <v>33</v>
      </c>
      <c r="I77" t="s">
        <v>33</v>
      </c>
      <c r="J77" t="s">
        <v>33</v>
      </c>
      <c r="K77" t="s">
        <v>33</v>
      </c>
      <c r="L77" t="s">
        <v>33</v>
      </c>
      <c r="M77" t="s">
        <v>33</v>
      </c>
      <c r="N77" t="s">
        <v>33</v>
      </c>
      <c r="O77" s="3" t="str">
        <f>IFERROR(AVERAGE(tblMain[[#This Row],[Primary_Total]],tblMain[[#This Row],[Upper_Primary_Total]],tblMain[[#This Row],[Secondary_Total]],tblMain[[#This Row],[HrSecondary_Total]]), "NULL")</f>
        <v>NULL</v>
      </c>
      <c r="P77">
        <v>132.5</v>
      </c>
      <c r="Q77">
        <v>136.4</v>
      </c>
      <c r="R77">
        <v>134.4</v>
      </c>
      <c r="S77">
        <v>115.4</v>
      </c>
      <c r="T77">
        <v>122.3</v>
      </c>
      <c r="U77">
        <v>118.8</v>
      </c>
      <c r="V77">
        <v>91.4</v>
      </c>
      <c r="W77">
        <v>89.8</v>
      </c>
      <c r="X77">
        <v>90.6</v>
      </c>
      <c r="Y77">
        <v>68.400000000000006</v>
      </c>
      <c r="Z77">
        <v>62.5</v>
      </c>
      <c r="AA77">
        <v>65.400000000000006</v>
      </c>
      <c r="AB77">
        <v>94.9</v>
      </c>
      <c r="AC77" s="3">
        <f>IFERROR(AVERAGE(tblMain[[#This Row],[GER_Primary_Total]],tblMain[[#This Row],[GER_Upper_Primary_Total]],tblMain[[#This Row],[GER_Secondary_Total]],tblMain[[#This Row],[GER_HrSecondary_Girls]]),"NULL")</f>
        <v>101.57499999999999</v>
      </c>
      <c r="AD77">
        <v>95.5</v>
      </c>
      <c r="AE77">
        <v>25.2</v>
      </c>
      <c r="AF77">
        <v>30.7</v>
      </c>
      <c r="AG77">
        <v>88.6</v>
      </c>
    </row>
    <row r="78" spans="1:33" x14ac:dyDescent="0.35">
      <c r="A78" t="s">
        <v>58</v>
      </c>
      <c r="B78" t="s">
        <v>34</v>
      </c>
      <c r="C78" t="s">
        <v>33</v>
      </c>
      <c r="D78" t="s">
        <v>33</v>
      </c>
      <c r="E78" t="s">
        <v>33</v>
      </c>
      <c r="F78" t="s">
        <v>33</v>
      </c>
      <c r="G78" t="s">
        <v>33</v>
      </c>
      <c r="H78" t="s">
        <v>33</v>
      </c>
      <c r="I78" t="s">
        <v>33</v>
      </c>
      <c r="J78" t="s">
        <v>33</v>
      </c>
      <c r="K78" t="s">
        <v>33</v>
      </c>
      <c r="L78" t="s">
        <v>33</v>
      </c>
      <c r="M78" t="s">
        <v>33</v>
      </c>
      <c r="N78" t="s">
        <v>33</v>
      </c>
      <c r="O78" s="3" t="str">
        <f>IFERROR(AVERAGE(tblMain[[#This Row],[Primary_Total]],tblMain[[#This Row],[Upper_Primary_Total]],tblMain[[#This Row],[Secondary_Total]],tblMain[[#This Row],[HrSecondary_Total]]), "NULL")</f>
        <v>NULL</v>
      </c>
      <c r="P78">
        <v>132.9</v>
      </c>
      <c r="Q78">
        <v>137.9</v>
      </c>
      <c r="R78">
        <v>135.4</v>
      </c>
      <c r="S78">
        <v>102.2</v>
      </c>
      <c r="T78">
        <v>120</v>
      </c>
      <c r="U78">
        <v>111</v>
      </c>
      <c r="V78">
        <v>67.099999999999994</v>
      </c>
      <c r="W78">
        <v>78.599999999999994</v>
      </c>
      <c r="X78">
        <v>72.8</v>
      </c>
      <c r="Y78">
        <v>19.600000000000001</v>
      </c>
      <c r="Z78">
        <v>26.4</v>
      </c>
      <c r="AA78">
        <v>22.9</v>
      </c>
      <c r="AB78">
        <v>53.7</v>
      </c>
      <c r="AC78" s="3">
        <f>IFERROR(AVERAGE(tblMain[[#This Row],[GER_Primary_Total]],tblMain[[#This Row],[GER_Upper_Primary_Total]],tblMain[[#This Row],[GER_Secondary_Total]],tblMain[[#This Row],[GER_HrSecondary_Girls]]),"NULL")</f>
        <v>86.399999999999991</v>
      </c>
      <c r="AD78">
        <v>51</v>
      </c>
      <c r="AE78">
        <v>9</v>
      </c>
      <c r="AF78">
        <v>24.5</v>
      </c>
      <c r="AG78">
        <v>61.8</v>
      </c>
    </row>
    <row r="79" spans="1:33" x14ac:dyDescent="0.35">
      <c r="A79" t="s">
        <v>58</v>
      </c>
      <c r="B79" t="s">
        <v>36</v>
      </c>
      <c r="C79" t="s">
        <v>33</v>
      </c>
      <c r="D79" t="s">
        <v>33</v>
      </c>
      <c r="E79" t="s">
        <v>33</v>
      </c>
      <c r="F79" t="s">
        <v>33</v>
      </c>
      <c r="G79" t="s">
        <v>33</v>
      </c>
      <c r="H79" t="s">
        <v>33</v>
      </c>
      <c r="I79" t="s">
        <v>33</v>
      </c>
      <c r="J79" t="s">
        <v>33</v>
      </c>
      <c r="K79" t="s">
        <v>33</v>
      </c>
      <c r="L79" t="s">
        <v>33</v>
      </c>
      <c r="M79" t="s">
        <v>33</v>
      </c>
      <c r="N79" t="s">
        <v>33</v>
      </c>
      <c r="O79" s="3" t="str">
        <f>IFERROR(AVERAGE(tblMain[[#This Row],[Primary_Total]],tblMain[[#This Row],[Upper_Primary_Total]],tblMain[[#This Row],[Secondary_Total]],tblMain[[#This Row],[HrSecondary_Total]]), "NULL")</f>
        <v>NULL</v>
      </c>
      <c r="P79">
        <v>138.80000000000001</v>
      </c>
      <c r="Q79">
        <v>143.1</v>
      </c>
      <c r="R79">
        <v>140.9</v>
      </c>
      <c r="S79">
        <v>126</v>
      </c>
      <c r="T79">
        <v>146.19999999999999</v>
      </c>
      <c r="U79">
        <v>135.9</v>
      </c>
      <c r="V79">
        <v>80.7</v>
      </c>
      <c r="W79">
        <v>93.9</v>
      </c>
      <c r="X79">
        <v>87.3</v>
      </c>
      <c r="Y79">
        <v>39.799999999999997</v>
      </c>
      <c r="Z79">
        <v>47</v>
      </c>
      <c r="AA79">
        <v>43.4</v>
      </c>
      <c r="AB79">
        <v>86.4</v>
      </c>
      <c r="AC79" s="3">
        <f>IFERROR(AVERAGE(tblMain[[#This Row],[GER_Primary_Total]],tblMain[[#This Row],[GER_Upper_Primary_Total]],tblMain[[#This Row],[GER_Secondary_Total]],tblMain[[#This Row],[GER_HrSecondary_Girls]]),"NULL")</f>
        <v>102.77500000000001</v>
      </c>
      <c r="AD79">
        <v>84.3</v>
      </c>
      <c r="AE79">
        <v>11.7</v>
      </c>
      <c r="AF79">
        <v>28.5</v>
      </c>
      <c r="AG79">
        <v>63.8</v>
      </c>
    </row>
    <row r="80" spans="1:33" x14ac:dyDescent="0.35">
      <c r="A80" t="s">
        <v>58</v>
      </c>
      <c r="B80" t="s">
        <v>35</v>
      </c>
      <c r="C80" t="s">
        <v>33</v>
      </c>
      <c r="D80" t="s">
        <v>33</v>
      </c>
      <c r="E80" t="s">
        <v>33</v>
      </c>
      <c r="F80" t="s">
        <v>33</v>
      </c>
      <c r="G80" t="s">
        <v>33</v>
      </c>
      <c r="H80" t="s">
        <v>33</v>
      </c>
      <c r="I80" t="s">
        <v>33</v>
      </c>
      <c r="J80" t="s">
        <v>33</v>
      </c>
      <c r="K80" t="s">
        <v>33</v>
      </c>
      <c r="L80" t="s">
        <v>33</v>
      </c>
      <c r="M80" t="s">
        <v>33</v>
      </c>
      <c r="N80" t="s">
        <v>33</v>
      </c>
      <c r="O80" s="3" t="str">
        <f>IFERROR(AVERAGE(tblMain[[#This Row],[Primary_Total]],tblMain[[#This Row],[Upper_Primary_Total]],tblMain[[#This Row],[Secondary_Total]],tblMain[[#This Row],[HrSecondary_Total]]), "NULL")</f>
        <v>NULL</v>
      </c>
      <c r="P80">
        <v>136.19999999999999</v>
      </c>
      <c r="Q80">
        <v>140.69999999999999</v>
      </c>
      <c r="R80">
        <v>138.4</v>
      </c>
      <c r="S80">
        <v>113.3</v>
      </c>
      <c r="T80">
        <v>131.1</v>
      </c>
      <c r="U80">
        <v>122</v>
      </c>
      <c r="V80">
        <v>75.099999999999994</v>
      </c>
      <c r="W80">
        <v>87.1</v>
      </c>
      <c r="X80">
        <v>81.099999999999994</v>
      </c>
      <c r="Y80">
        <v>32</v>
      </c>
      <c r="Z80">
        <v>40.200000000000003</v>
      </c>
      <c r="AA80">
        <v>36</v>
      </c>
      <c r="AB80">
        <v>64.5</v>
      </c>
      <c r="AC80" s="3">
        <f>IFERROR(AVERAGE(tblMain[[#This Row],[GER_Primary_Total]],tblMain[[#This Row],[GER_Upper_Primary_Total]],tblMain[[#This Row],[GER_Secondary_Total]],tblMain[[#This Row],[GER_HrSecondary_Girls]]),"NULL")</f>
        <v>95.424999999999997</v>
      </c>
      <c r="AD80">
        <v>63.9</v>
      </c>
      <c r="AE80">
        <v>10.6</v>
      </c>
      <c r="AF80">
        <v>26.7</v>
      </c>
      <c r="AG80">
        <v>63.7</v>
      </c>
    </row>
    <row r="81" spans="1:33" x14ac:dyDescent="0.35">
      <c r="A81" t="s">
        <v>59</v>
      </c>
      <c r="B81" t="s">
        <v>35</v>
      </c>
      <c r="C81">
        <v>10.199999999999999</v>
      </c>
      <c r="D81">
        <v>10</v>
      </c>
      <c r="E81">
        <v>10.1</v>
      </c>
      <c r="F81">
        <v>5.5</v>
      </c>
      <c r="G81">
        <v>4.0999999999999996</v>
      </c>
      <c r="H81">
        <v>4.8</v>
      </c>
      <c r="I81">
        <v>23</v>
      </c>
      <c r="J81">
        <v>20.7</v>
      </c>
      <c r="K81">
        <v>21.9</v>
      </c>
      <c r="L81">
        <v>9</v>
      </c>
      <c r="M81">
        <v>4.9000000000000004</v>
      </c>
      <c r="N81">
        <v>6.9</v>
      </c>
      <c r="O81" s="3">
        <f>IFERROR(AVERAGE(tblMain[[#This Row],[Primary_Total]],tblMain[[#This Row],[Upper_Primary_Total]],tblMain[[#This Row],[Secondary_Total]],tblMain[[#This Row],[HrSecondary_Total]]), "NULL")</f>
        <v>10.924999999999999</v>
      </c>
      <c r="P81">
        <v>124.8</v>
      </c>
      <c r="Q81">
        <v>120.4</v>
      </c>
      <c r="R81">
        <v>122.7</v>
      </c>
      <c r="S81">
        <v>127.6</v>
      </c>
      <c r="T81">
        <v>126</v>
      </c>
      <c r="U81">
        <v>126.8</v>
      </c>
      <c r="V81">
        <v>107.2</v>
      </c>
      <c r="W81">
        <v>109.1</v>
      </c>
      <c r="X81">
        <v>108.2</v>
      </c>
      <c r="Y81">
        <v>61.9</v>
      </c>
      <c r="Z81">
        <v>62.3</v>
      </c>
      <c r="AA81">
        <v>62.1</v>
      </c>
      <c r="AB81">
        <v>97.3</v>
      </c>
      <c r="AC81" s="3">
        <f>IFERROR(AVERAGE(tblMain[[#This Row],[GER_Primary_Total]],tblMain[[#This Row],[GER_Upper_Primary_Total]],tblMain[[#This Row],[GER_Secondary_Total]],tblMain[[#This Row],[GER_HrSecondary_Girls]]),"NULL")</f>
        <v>105</v>
      </c>
      <c r="AD81">
        <v>99.8</v>
      </c>
      <c r="AE81">
        <v>31.9</v>
      </c>
      <c r="AF81">
        <v>74.599999999999994</v>
      </c>
      <c r="AG81">
        <v>92.2</v>
      </c>
    </row>
    <row r="82" spans="1:33" x14ac:dyDescent="0.35">
      <c r="A82" t="s">
        <v>59</v>
      </c>
      <c r="B82" t="s">
        <v>34</v>
      </c>
      <c r="C82" t="s">
        <v>33</v>
      </c>
      <c r="D82" t="s">
        <v>33</v>
      </c>
      <c r="E82" t="s">
        <v>33</v>
      </c>
      <c r="F82" t="s">
        <v>33</v>
      </c>
      <c r="G82" t="s">
        <v>33</v>
      </c>
      <c r="H82" t="s">
        <v>33</v>
      </c>
      <c r="I82" t="s">
        <v>33</v>
      </c>
      <c r="J82" t="s">
        <v>33</v>
      </c>
      <c r="K82" t="s">
        <v>33</v>
      </c>
      <c r="L82" t="s">
        <v>33</v>
      </c>
      <c r="M82" t="s">
        <v>33</v>
      </c>
      <c r="N82" t="s">
        <v>33</v>
      </c>
      <c r="O82" s="3" t="str">
        <f>IFERROR(AVERAGE(tblMain[[#This Row],[Primary_Total]],tblMain[[#This Row],[Upper_Primary_Total]],tblMain[[#This Row],[Secondary_Total]],tblMain[[#This Row],[HrSecondary_Total]]), "NULL")</f>
        <v>NULL</v>
      </c>
      <c r="P82">
        <v>127.9</v>
      </c>
      <c r="Q82">
        <v>123.9</v>
      </c>
      <c r="R82">
        <v>126</v>
      </c>
      <c r="S82">
        <v>119.4</v>
      </c>
      <c r="T82">
        <v>118</v>
      </c>
      <c r="U82">
        <v>118.7</v>
      </c>
      <c r="V82">
        <v>105.9</v>
      </c>
      <c r="W82">
        <v>107.3</v>
      </c>
      <c r="X82">
        <v>106.6</v>
      </c>
      <c r="Y82">
        <v>58</v>
      </c>
      <c r="Z82">
        <v>61.9</v>
      </c>
      <c r="AA82">
        <v>59.9</v>
      </c>
      <c r="AB82">
        <v>73.3</v>
      </c>
      <c r="AC82" s="3">
        <f>IFERROR(AVERAGE(tblMain[[#This Row],[GER_Primary_Total]],tblMain[[#This Row],[GER_Upper_Primary_Total]],tblMain[[#This Row],[GER_Secondary_Total]],tblMain[[#This Row],[GER_HrSecondary_Girls]]),"NULL")</f>
        <v>103.29999999999998</v>
      </c>
      <c r="AD82">
        <v>99.6</v>
      </c>
      <c r="AE82">
        <v>27.8</v>
      </c>
      <c r="AF82">
        <v>73.8</v>
      </c>
      <c r="AG82">
        <v>93.4</v>
      </c>
    </row>
    <row r="83" spans="1:33" x14ac:dyDescent="0.35">
      <c r="A83" t="s">
        <v>59</v>
      </c>
      <c r="B83" t="s">
        <v>36</v>
      </c>
      <c r="C83" t="s">
        <v>33</v>
      </c>
      <c r="D83" t="s">
        <v>33</v>
      </c>
      <c r="E83" t="s">
        <v>33</v>
      </c>
      <c r="F83" t="s">
        <v>33</v>
      </c>
      <c r="G83" t="s">
        <v>33</v>
      </c>
      <c r="H83" t="s">
        <v>33</v>
      </c>
      <c r="I83" t="s">
        <v>33</v>
      </c>
      <c r="J83" t="s">
        <v>33</v>
      </c>
      <c r="K83" t="s">
        <v>33</v>
      </c>
      <c r="L83" t="s">
        <v>33</v>
      </c>
      <c r="M83" t="s">
        <v>33</v>
      </c>
      <c r="N83" t="s">
        <v>33</v>
      </c>
      <c r="O83" s="3" t="str">
        <f>IFERROR(AVERAGE(tblMain[[#This Row],[Primary_Total]],tblMain[[#This Row],[Upper_Primary_Total]],tblMain[[#This Row],[Secondary_Total]],tblMain[[#This Row],[HrSecondary_Total]]), "NULL")</f>
        <v>NULL</v>
      </c>
      <c r="P83">
        <v>124.9</v>
      </c>
      <c r="Q83">
        <v>121</v>
      </c>
      <c r="R83">
        <v>123</v>
      </c>
      <c r="S83">
        <v>135.9</v>
      </c>
      <c r="T83">
        <v>133.6</v>
      </c>
      <c r="U83">
        <v>134.80000000000001</v>
      </c>
      <c r="V83">
        <v>107.3</v>
      </c>
      <c r="W83">
        <v>110.9</v>
      </c>
      <c r="X83">
        <v>109</v>
      </c>
      <c r="Y83">
        <v>53.6</v>
      </c>
      <c r="Z83">
        <v>57.9</v>
      </c>
      <c r="AA83">
        <v>55.7</v>
      </c>
      <c r="AB83">
        <v>98</v>
      </c>
      <c r="AC83" s="3">
        <f>IFERROR(AVERAGE(tblMain[[#This Row],[GER_Primary_Total]],tblMain[[#This Row],[GER_Upper_Primary_Total]],tblMain[[#This Row],[GER_Secondary_Total]],tblMain[[#This Row],[GER_HrSecondary_Girls]]),"NULL")</f>
        <v>106.175</v>
      </c>
      <c r="AD83">
        <v>99.3</v>
      </c>
      <c r="AE83">
        <v>32.799999999999997</v>
      </c>
      <c r="AF83">
        <v>76.900000000000006</v>
      </c>
      <c r="AG83">
        <v>93.1</v>
      </c>
    </row>
    <row r="84" spans="1:33" x14ac:dyDescent="0.35">
      <c r="A84" t="s">
        <v>60</v>
      </c>
      <c r="B84" t="s">
        <v>32</v>
      </c>
      <c r="C84">
        <v>7.1</v>
      </c>
      <c r="D84">
        <v>7</v>
      </c>
      <c r="E84">
        <v>7.1</v>
      </c>
      <c r="F84">
        <v>10.199999999999999</v>
      </c>
      <c r="G84">
        <v>9.5</v>
      </c>
      <c r="H84">
        <v>9.8000000000000007</v>
      </c>
      <c r="I84">
        <v>26.7</v>
      </c>
      <c r="J84">
        <v>26.3</v>
      </c>
      <c r="K84">
        <v>26.5</v>
      </c>
      <c r="L84">
        <v>18.7</v>
      </c>
      <c r="M84">
        <v>17.899999999999999</v>
      </c>
      <c r="N84">
        <v>18.3</v>
      </c>
      <c r="O84" s="3">
        <f>IFERROR(AVERAGE(tblMain[[#This Row],[Primary_Total]],tblMain[[#This Row],[Upper_Primary_Total]],tblMain[[#This Row],[Secondary_Total]],tblMain[[#This Row],[HrSecondary_Total]]), "NULL")</f>
        <v>15.425000000000001</v>
      </c>
      <c r="P84" t="s">
        <v>33</v>
      </c>
      <c r="Q84" t="s">
        <v>33</v>
      </c>
      <c r="R84" t="s">
        <v>33</v>
      </c>
      <c r="S84" t="s">
        <v>33</v>
      </c>
      <c r="T84" t="s">
        <v>33</v>
      </c>
      <c r="U84" t="s">
        <v>33</v>
      </c>
      <c r="V84" t="s">
        <v>33</v>
      </c>
      <c r="W84" t="s">
        <v>33</v>
      </c>
      <c r="X84" t="s">
        <v>33</v>
      </c>
      <c r="Y84" t="s">
        <v>33</v>
      </c>
      <c r="Z84" t="s">
        <v>33</v>
      </c>
      <c r="AA84" t="s">
        <v>33</v>
      </c>
      <c r="AB84" t="s">
        <v>33</v>
      </c>
      <c r="AC84" t="str">
        <f>IFERROR(AVERAGE(tblMain[[#This Row],[GER_Primary_Total]],tblMain[[#This Row],[GER_Upper_Primary_Total]],tblMain[[#This Row],[GER_Secondary_Total]],tblMain[[#This Row],[GER_HrSecondary_Girls]]),"NULL")</f>
        <v>NULL</v>
      </c>
      <c r="AD84" t="s">
        <v>33</v>
      </c>
      <c r="AE84" t="s">
        <v>33</v>
      </c>
      <c r="AF84" t="s">
        <v>33</v>
      </c>
      <c r="AG84" t="s">
        <v>33</v>
      </c>
    </row>
    <row r="85" spans="1:33" x14ac:dyDescent="0.35">
      <c r="A85" t="s">
        <v>60</v>
      </c>
      <c r="B85" t="s">
        <v>34</v>
      </c>
      <c r="C85">
        <v>19.100000000000001</v>
      </c>
      <c r="D85">
        <v>19.7</v>
      </c>
      <c r="E85">
        <v>19.399999999999999</v>
      </c>
      <c r="F85">
        <v>18.100000000000001</v>
      </c>
      <c r="G85">
        <v>17.600000000000001</v>
      </c>
      <c r="H85">
        <v>17.899999999999999</v>
      </c>
      <c r="I85">
        <v>34.1</v>
      </c>
      <c r="J85">
        <v>36.1</v>
      </c>
      <c r="K85">
        <v>35.1</v>
      </c>
      <c r="L85">
        <v>15.4</v>
      </c>
      <c r="M85">
        <v>13</v>
      </c>
      <c r="N85">
        <v>14.2</v>
      </c>
      <c r="O85" s="3">
        <f>IFERROR(AVERAGE(tblMain[[#This Row],[Primary_Total]],tblMain[[#This Row],[Upper_Primary_Total]],tblMain[[#This Row],[Secondary_Total]],tblMain[[#This Row],[HrSecondary_Total]]), "NULL")</f>
        <v>21.650000000000002</v>
      </c>
      <c r="P85">
        <v>116.7</v>
      </c>
      <c r="Q85">
        <v>121.1</v>
      </c>
      <c r="R85">
        <v>118.8</v>
      </c>
      <c r="S85">
        <v>99.1</v>
      </c>
      <c r="T85">
        <v>106.7</v>
      </c>
      <c r="U85">
        <v>102.7</v>
      </c>
      <c r="V85">
        <v>66.3</v>
      </c>
      <c r="W85">
        <v>70.3</v>
      </c>
      <c r="X85">
        <v>68.2</v>
      </c>
      <c r="Y85">
        <v>33.700000000000003</v>
      </c>
      <c r="Z85">
        <v>32.299999999999997</v>
      </c>
      <c r="AA85">
        <v>33</v>
      </c>
      <c r="AB85">
        <v>87.9</v>
      </c>
      <c r="AC85" s="3">
        <f>IFERROR(AVERAGE(tblMain[[#This Row],[GER_Primary_Total]],tblMain[[#This Row],[GER_Upper_Primary_Total]],tblMain[[#This Row],[GER_Secondary_Total]],tblMain[[#This Row],[GER_HrSecondary_Girls]]),"NULL")</f>
        <v>80.5</v>
      </c>
      <c r="AD85">
        <v>97.1</v>
      </c>
      <c r="AE85">
        <v>35</v>
      </c>
      <c r="AF85">
        <v>39.1</v>
      </c>
      <c r="AG85">
        <v>72.3</v>
      </c>
    </row>
    <row r="86" spans="1:33" x14ac:dyDescent="0.35">
      <c r="A86" t="s">
        <v>60</v>
      </c>
      <c r="B86" t="s">
        <v>35</v>
      </c>
      <c r="C86">
        <v>6.2</v>
      </c>
      <c r="D86">
        <v>5</v>
      </c>
      <c r="E86">
        <v>5.6</v>
      </c>
      <c r="F86">
        <v>7.9</v>
      </c>
      <c r="G86">
        <v>8</v>
      </c>
      <c r="H86">
        <v>7.9</v>
      </c>
      <c r="I86">
        <v>18</v>
      </c>
      <c r="J86">
        <v>18.5</v>
      </c>
      <c r="K86">
        <v>18.2</v>
      </c>
      <c r="L86">
        <v>10.4</v>
      </c>
      <c r="M86">
        <v>3.2</v>
      </c>
      <c r="N86">
        <v>7</v>
      </c>
      <c r="O86" s="3">
        <f>IFERROR(AVERAGE(tblMain[[#This Row],[Primary_Total]],tblMain[[#This Row],[Upper_Primary_Total]],tblMain[[#This Row],[Secondary_Total]],tblMain[[#This Row],[HrSecondary_Total]]), "NULL")</f>
        <v>9.6750000000000007</v>
      </c>
      <c r="P86">
        <v>99.3</v>
      </c>
      <c r="Q86">
        <v>101.9</v>
      </c>
      <c r="R86">
        <v>100.6</v>
      </c>
      <c r="S86">
        <v>94.3</v>
      </c>
      <c r="T86">
        <v>101.4</v>
      </c>
      <c r="U86">
        <v>97.7</v>
      </c>
      <c r="V86">
        <v>62.3</v>
      </c>
      <c r="W86">
        <v>66.900000000000006</v>
      </c>
      <c r="X86">
        <v>64.5</v>
      </c>
      <c r="Y86">
        <v>34.1</v>
      </c>
      <c r="Z86">
        <v>33.1</v>
      </c>
      <c r="AA86">
        <v>33.6</v>
      </c>
      <c r="AB86">
        <v>94.7</v>
      </c>
      <c r="AC86" s="3">
        <f>IFERROR(AVERAGE(tblMain[[#This Row],[GER_Primary_Total]],tblMain[[#This Row],[GER_Upper_Primary_Total]],tblMain[[#This Row],[GER_Secondary_Total]],tblMain[[#This Row],[GER_HrSecondary_Girls]]),"NULL")</f>
        <v>73.975000000000009</v>
      </c>
      <c r="AD86">
        <v>99.4</v>
      </c>
      <c r="AE86">
        <v>35.700000000000003</v>
      </c>
      <c r="AF86">
        <v>40.9</v>
      </c>
      <c r="AG86">
        <v>78.2</v>
      </c>
    </row>
    <row r="87" spans="1:33" x14ac:dyDescent="0.35">
      <c r="A87" t="s">
        <v>60</v>
      </c>
      <c r="B87" t="s">
        <v>36</v>
      </c>
      <c r="C87" t="s">
        <v>33</v>
      </c>
      <c r="D87" t="s">
        <v>33</v>
      </c>
      <c r="E87" t="s">
        <v>33</v>
      </c>
      <c r="F87" t="s">
        <v>33</v>
      </c>
      <c r="G87" t="s">
        <v>33</v>
      </c>
      <c r="H87" t="s">
        <v>33</v>
      </c>
      <c r="I87" t="s">
        <v>33</v>
      </c>
      <c r="J87" t="s">
        <v>33</v>
      </c>
      <c r="K87" t="s">
        <v>33</v>
      </c>
      <c r="L87" t="s">
        <v>33</v>
      </c>
      <c r="M87" t="s">
        <v>33</v>
      </c>
      <c r="N87" t="s">
        <v>33</v>
      </c>
      <c r="O87" s="3" t="str">
        <f>IFERROR(AVERAGE(tblMain[[#This Row],[Primary_Total]],tblMain[[#This Row],[Upper_Primary_Total]],tblMain[[#This Row],[Secondary_Total]],tblMain[[#This Row],[HrSecondary_Total]]), "NULL")</f>
        <v>NULL</v>
      </c>
      <c r="P87">
        <v>98.1</v>
      </c>
      <c r="Q87">
        <v>101</v>
      </c>
      <c r="R87">
        <v>99.5</v>
      </c>
      <c r="S87">
        <v>98.6</v>
      </c>
      <c r="T87">
        <v>106.4</v>
      </c>
      <c r="U87">
        <v>102.3</v>
      </c>
      <c r="V87">
        <v>68.900000000000006</v>
      </c>
      <c r="W87">
        <v>74.599999999999994</v>
      </c>
      <c r="X87">
        <v>71.599999999999994</v>
      </c>
      <c r="Y87">
        <v>36.4</v>
      </c>
      <c r="Z87">
        <v>36.4</v>
      </c>
      <c r="AA87">
        <v>36.4</v>
      </c>
      <c r="AB87">
        <v>98.7</v>
      </c>
      <c r="AC87" s="3">
        <f>IFERROR(AVERAGE(tblMain[[#This Row],[GER_Primary_Total]],tblMain[[#This Row],[GER_Upper_Primary_Total]],tblMain[[#This Row],[GER_Secondary_Total]],tblMain[[#This Row],[GER_HrSecondary_Girls]]),"NULL")</f>
        <v>77.449999999999989</v>
      </c>
      <c r="AD87">
        <v>99.9</v>
      </c>
      <c r="AE87">
        <v>40.1</v>
      </c>
      <c r="AF87">
        <v>51.7</v>
      </c>
      <c r="AG87">
        <v>82.1</v>
      </c>
    </row>
    <row r="88" spans="1:33" x14ac:dyDescent="0.35">
      <c r="A88" t="s">
        <v>61</v>
      </c>
      <c r="B88" t="s">
        <v>36</v>
      </c>
      <c r="C88" t="s">
        <v>33</v>
      </c>
      <c r="D88" t="s">
        <v>33</v>
      </c>
      <c r="E88" t="s">
        <v>33</v>
      </c>
      <c r="F88" t="s">
        <v>33</v>
      </c>
      <c r="G88" t="s">
        <v>33</v>
      </c>
      <c r="H88" t="s">
        <v>33</v>
      </c>
      <c r="I88" t="s">
        <v>33</v>
      </c>
      <c r="J88" t="s">
        <v>33</v>
      </c>
      <c r="K88" t="s">
        <v>33</v>
      </c>
      <c r="L88" t="s">
        <v>33</v>
      </c>
      <c r="M88" t="s">
        <v>33</v>
      </c>
      <c r="N88" t="s">
        <v>33</v>
      </c>
      <c r="O88" s="3" t="str">
        <f>IFERROR(AVERAGE(tblMain[[#This Row],[Primary_Total]],tblMain[[#This Row],[Upper_Primary_Total]],tblMain[[#This Row],[Secondary_Total]],tblMain[[#This Row],[HrSecondary_Total]]), "NULL")</f>
        <v>NULL</v>
      </c>
      <c r="P88">
        <v>104.9</v>
      </c>
      <c r="Q88">
        <v>102.5</v>
      </c>
      <c r="R88">
        <v>103.7</v>
      </c>
      <c r="S88">
        <v>94.9</v>
      </c>
      <c r="T88">
        <v>93.6</v>
      </c>
      <c r="U88">
        <v>94.3</v>
      </c>
      <c r="V88">
        <v>79.400000000000006</v>
      </c>
      <c r="W88">
        <v>79.8</v>
      </c>
      <c r="X88">
        <v>79.599999999999994</v>
      </c>
      <c r="Y88">
        <v>37</v>
      </c>
      <c r="Z88">
        <v>36.1</v>
      </c>
      <c r="AA88">
        <v>36.5</v>
      </c>
      <c r="AB88">
        <v>93.8</v>
      </c>
      <c r="AC88" s="3">
        <f>IFERROR(AVERAGE(tblMain[[#This Row],[GER_Primary_Total]],tblMain[[#This Row],[GER_Upper_Primary_Total]],tblMain[[#This Row],[GER_Secondary_Total]],tblMain[[#This Row],[GER_HrSecondary_Girls]]),"NULL")</f>
        <v>78.425000000000011</v>
      </c>
      <c r="AD88">
        <v>97.1</v>
      </c>
      <c r="AE88">
        <v>15</v>
      </c>
      <c r="AF88">
        <v>33</v>
      </c>
      <c r="AG88">
        <v>99.4</v>
      </c>
    </row>
    <row r="89" spans="1:33" x14ac:dyDescent="0.35">
      <c r="A89" t="s">
        <v>61</v>
      </c>
      <c r="B89" t="s">
        <v>34</v>
      </c>
      <c r="C89" t="s">
        <v>33</v>
      </c>
      <c r="D89" t="s">
        <v>33</v>
      </c>
      <c r="E89" t="s">
        <v>33</v>
      </c>
      <c r="F89" t="s">
        <v>33</v>
      </c>
      <c r="G89" t="s">
        <v>33</v>
      </c>
      <c r="H89" t="s">
        <v>33</v>
      </c>
      <c r="I89" t="s">
        <v>33</v>
      </c>
      <c r="J89" t="s">
        <v>33</v>
      </c>
      <c r="K89" t="s">
        <v>33</v>
      </c>
      <c r="L89" t="s">
        <v>33</v>
      </c>
      <c r="M89" t="s">
        <v>33</v>
      </c>
      <c r="N89" t="s">
        <v>33</v>
      </c>
      <c r="O89" s="3" t="str">
        <f>IFERROR(AVERAGE(tblMain[[#This Row],[Primary_Total]],tblMain[[#This Row],[Upper_Primary_Total]],tblMain[[#This Row],[Secondary_Total]],tblMain[[#This Row],[HrSecondary_Total]]), "NULL")</f>
        <v>NULL</v>
      </c>
      <c r="P89" t="s">
        <v>33</v>
      </c>
      <c r="Q89" t="s">
        <v>33</v>
      </c>
      <c r="R89" t="s">
        <v>33</v>
      </c>
      <c r="S89" t="s">
        <v>33</v>
      </c>
      <c r="T89" t="s">
        <v>33</v>
      </c>
      <c r="U89" t="s">
        <v>33</v>
      </c>
      <c r="V89" t="s">
        <v>33</v>
      </c>
      <c r="W89" t="s">
        <v>33</v>
      </c>
      <c r="X89" t="s">
        <v>33</v>
      </c>
      <c r="Y89" t="s">
        <v>33</v>
      </c>
      <c r="Z89" t="s">
        <v>33</v>
      </c>
      <c r="AA89" t="s">
        <v>33</v>
      </c>
      <c r="AB89">
        <v>76.599999999999994</v>
      </c>
      <c r="AC89" t="str">
        <f>IFERROR(AVERAGE(tblMain[[#This Row],[GER_Primary_Total]],tblMain[[#This Row],[GER_Upper_Primary_Total]],tblMain[[#This Row],[GER_Secondary_Total]],tblMain[[#This Row],[GER_HrSecondary_Girls]]),"NULL")</f>
        <v>NULL</v>
      </c>
      <c r="AD89">
        <v>86</v>
      </c>
      <c r="AE89">
        <v>10.6</v>
      </c>
      <c r="AF89">
        <v>27.9</v>
      </c>
      <c r="AG89">
        <v>96.9</v>
      </c>
    </row>
    <row r="90" spans="1:33" x14ac:dyDescent="0.35">
      <c r="A90" t="s">
        <v>61</v>
      </c>
      <c r="B90" t="s">
        <v>35</v>
      </c>
      <c r="C90" t="s">
        <v>33</v>
      </c>
      <c r="D90" t="s">
        <v>33</v>
      </c>
      <c r="E90" t="s">
        <v>33</v>
      </c>
      <c r="F90" t="s">
        <v>33</v>
      </c>
      <c r="G90" t="s">
        <v>33</v>
      </c>
      <c r="H90" t="s">
        <v>33</v>
      </c>
      <c r="I90" t="s">
        <v>33</v>
      </c>
      <c r="J90" t="s">
        <v>33</v>
      </c>
      <c r="K90" t="s">
        <v>33</v>
      </c>
      <c r="L90" t="s">
        <v>33</v>
      </c>
      <c r="M90" t="s">
        <v>33</v>
      </c>
      <c r="N90" t="s">
        <v>33</v>
      </c>
      <c r="O90" s="3" t="str">
        <f>IFERROR(AVERAGE(tblMain[[#This Row],[Primary_Total]],tblMain[[#This Row],[Upper_Primary_Total]],tblMain[[#This Row],[Secondary_Total]],tblMain[[#This Row],[HrSecondary_Total]]), "NULL")</f>
        <v>NULL</v>
      </c>
      <c r="P90" t="s">
        <v>33</v>
      </c>
      <c r="Q90" t="s">
        <v>33</v>
      </c>
      <c r="R90" t="s">
        <v>33</v>
      </c>
      <c r="S90" t="s">
        <v>33</v>
      </c>
      <c r="T90" t="s">
        <v>33</v>
      </c>
      <c r="U90" t="s">
        <v>33</v>
      </c>
      <c r="V90" t="s">
        <v>33</v>
      </c>
      <c r="W90" t="s">
        <v>33</v>
      </c>
      <c r="X90" t="s">
        <v>33</v>
      </c>
      <c r="Y90" t="s">
        <v>33</v>
      </c>
      <c r="Z90" t="s">
        <v>33</v>
      </c>
      <c r="AA90" t="s">
        <v>33</v>
      </c>
      <c r="AB90">
        <v>82.5</v>
      </c>
      <c r="AC90" t="str">
        <f>IFERROR(AVERAGE(tblMain[[#This Row],[GER_Primary_Total]],tblMain[[#This Row],[GER_Upper_Primary_Total]],tblMain[[#This Row],[GER_Secondary_Total]],tblMain[[#This Row],[GER_HrSecondary_Girls]]),"NULL")</f>
        <v>NULL</v>
      </c>
      <c r="AD90">
        <v>88.3</v>
      </c>
      <c r="AE90">
        <v>13.7</v>
      </c>
      <c r="AF90">
        <v>29.7</v>
      </c>
      <c r="AG90">
        <v>98</v>
      </c>
    </row>
    <row r="91" spans="1:33" x14ac:dyDescent="0.35">
      <c r="A91" t="s">
        <v>62</v>
      </c>
      <c r="B91" t="s">
        <v>32</v>
      </c>
      <c r="C91">
        <v>0.3</v>
      </c>
      <c r="D91">
        <v>0.4</v>
      </c>
      <c r="E91">
        <v>0.3</v>
      </c>
      <c r="F91">
        <v>0.3</v>
      </c>
      <c r="G91">
        <v>1.1000000000000001</v>
      </c>
      <c r="H91">
        <v>0.7</v>
      </c>
      <c r="I91">
        <v>18.5</v>
      </c>
      <c r="J91">
        <v>11.7</v>
      </c>
      <c r="K91">
        <v>15.2</v>
      </c>
      <c r="L91">
        <v>6.8</v>
      </c>
      <c r="M91">
        <v>3.9</v>
      </c>
      <c r="N91">
        <v>5.3</v>
      </c>
      <c r="O91" s="3">
        <f>IFERROR(AVERAGE(tblMain[[#This Row],[Primary_Total]],tblMain[[#This Row],[Upper_Primary_Total]],tblMain[[#This Row],[Secondary_Total]],tblMain[[#This Row],[HrSecondary_Total]]), "NULL")</f>
        <v>5.375</v>
      </c>
      <c r="P91" t="s">
        <v>33</v>
      </c>
      <c r="Q91" t="s">
        <v>33</v>
      </c>
      <c r="R91" t="s">
        <v>33</v>
      </c>
      <c r="S91" t="s">
        <v>33</v>
      </c>
      <c r="T91" t="s">
        <v>33</v>
      </c>
      <c r="U91" t="s">
        <v>33</v>
      </c>
      <c r="V91" t="s">
        <v>33</v>
      </c>
      <c r="W91" t="s">
        <v>33</v>
      </c>
      <c r="X91" t="s">
        <v>33</v>
      </c>
      <c r="Y91" t="s">
        <v>33</v>
      </c>
      <c r="Z91" t="s">
        <v>33</v>
      </c>
      <c r="AA91" t="s">
        <v>33</v>
      </c>
      <c r="AB91" t="s">
        <v>33</v>
      </c>
      <c r="AC91" t="str">
        <f>IFERROR(AVERAGE(tblMain[[#This Row],[GER_Primary_Total]],tblMain[[#This Row],[GER_Upper_Primary_Total]],tblMain[[#This Row],[GER_Secondary_Total]],tblMain[[#This Row],[GER_HrSecondary_Girls]]),"NULL")</f>
        <v>NULL</v>
      </c>
      <c r="AD91" t="s">
        <v>33</v>
      </c>
      <c r="AE91" t="s">
        <v>33</v>
      </c>
      <c r="AF91" t="s">
        <v>33</v>
      </c>
      <c r="AG91" t="s">
        <v>33</v>
      </c>
    </row>
    <row r="92" spans="1:33" x14ac:dyDescent="0.35">
      <c r="A92" t="s">
        <v>62</v>
      </c>
      <c r="B92" t="s">
        <v>34</v>
      </c>
      <c r="C92">
        <v>0.8</v>
      </c>
      <c r="D92">
        <v>0.6</v>
      </c>
      <c r="E92">
        <v>0.7</v>
      </c>
      <c r="F92">
        <v>0.4</v>
      </c>
      <c r="G92">
        <v>0.8</v>
      </c>
      <c r="H92">
        <v>0.6</v>
      </c>
      <c r="I92">
        <v>18.2</v>
      </c>
      <c r="J92">
        <v>10</v>
      </c>
      <c r="K92">
        <v>14.2</v>
      </c>
      <c r="L92">
        <v>13.2</v>
      </c>
      <c r="M92">
        <v>9.3000000000000007</v>
      </c>
      <c r="N92">
        <v>11.2</v>
      </c>
      <c r="O92" s="3">
        <f>IFERROR(AVERAGE(tblMain[[#This Row],[Primary_Total]],tblMain[[#This Row],[Upper_Primary_Total]],tblMain[[#This Row],[Secondary_Total]],tblMain[[#This Row],[HrSecondary_Total]]), "NULL")</f>
        <v>6.6749999999999998</v>
      </c>
      <c r="P92">
        <v>89.5</v>
      </c>
      <c r="Q92">
        <v>95.4</v>
      </c>
      <c r="R92">
        <v>92.3</v>
      </c>
      <c r="S92">
        <v>92.4</v>
      </c>
      <c r="T92">
        <v>98.1</v>
      </c>
      <c r="U92">
        <v>95.1</v>
      </c>
      <c r="V92">
        <v>97.8</v>
      </c>
      <c r="W92">
        <v>104.6</v>
      </c>
      <c r="X92">
        <v>101</v>
      </c>
      <c r="Y92">
        <v>64.2</v>
      </c>
      <c r="Z92">
        <v>84.2</v>
      </c>
      <c r="AA92">
        <v>73.5</v>
      </c>
      <c r="AB92">
        <v>99.9</v>
      </c>
      <c r="AC92" s="3">
        <f>IFERROR(AVERAGE(tblMain[[#This Row],[GER_Primary_Total]],tblMain[[#This Row],[GER_Upper_Primary_Total]],tblMain[[#This Row],[GER_Secondary_Total]],tblMain[[#This Row],[GER_HrSecondary_Girls]]),"NULL")</f>
        <v>93.149999999999991</v>
      </c>
      <c r="AD92">
        <v>100</v>
      </c>
      <c r="AE92">
        <v>97.6</v>
      </c>
      <c r="AF92">
        <v>100</v>
      </c>
      <c r="AG92">
        <v>100</v>
      </c>
    </row>
    <row r="93" spans="1:33" x14ac:dyDescent="0.35">
      <c r="A93" t="s">
        <v>62</v>
      </c>
      <c r="B93" t="s">
        <v>35</v>
      </c>
      <c r="C93">
        <v>0.4</v>
      </c>
      <c r="D93">
        <v>0.4</v>
      </c>
      <c r="E93">
        <v>0.4</v>
      </c>
      <c r="F93">
        <v>0.4</v>
      </c>
      <c r="G93">
        <v>0.7</v>
      </c>
      <c r="H93">
        <v>0.6</v>
      </c>
      <c r="I93">
        <v>14.9</v>
      </c>
      <c r="J93">
        <v>9.4</v>
      </c>
      <c r="K93">
        <v>12.2</v>
      </c>
      <c r="L93">
        <v>5.4</v>
      </c>
      <c r="M93">
        <v>3.7</v>
      </c>
      <c r="N93">
        <v>4.5</v>
      </c>
      <c r="O93" s="3">
        <f>IFERROR(AVERAGE(tblMain[[#This Row],[Primary_Total]],tblMain[[#This Row],[Upper_Primary_Total]],tblMain[[#This Row],[Secondary_Total]],tblMain[[#This Row],[HrSecondary_Total]]), "NULL")</f>
        <v>4.4249999999999998</v>
      </c>
      <c r="P93">
        <v>84.5</v>
      </c>
      <c r="Q93">
        <v>92.4</v>
      </c>
      <c r="R93">
        <v>88.2</v>
      </c>
      <c r="S93">
        <v>86.9</v>
      </c>
      <c r="T93">
        <v>94</v>
      </c>
      <c r="U93">
        <v>90.2</v>
      </c>
      <c r="V93">
        <v>90.3</v>
      </c>
      <c r="W93">
        <v>101.9</v>
      </c>
      <c r="X93">
        <v>95.7</v>
      </c>
      <c r="Y93">
        <v>61.3</v>
      </c>
      <c r="Z93">
        <v>82.2</v>
      </c>
      <c r="AA93">
        <v>70.900000000000006</v>
      </c>
      <c r="AB93">
        <v>99.9</v>
      </c>
      <c r="AC93" s="3">
        <f>IFERROR(AVERAGE(tblMain[[#This Row],[GER_Primary_Total]],tblMain[[#This Row],[GER_Upper_Primary_Total]],tblMain[[#This Row],[GER_Secondary_Total]],tblMain[[#This Row],[GER_HrSecondary_Girls]]),"NULL")</f>
        <v>89.075000000000003</v>
      </c>
      <c r="AD93">
        <v>100</v>
      </c>
      <c r="AE93">
        <v>97.8</v>
      </c>
      <c r="AF93">
        <v>100</v>
      </c>
      <c r="AG93">
        <v>99.7</v>
      </c>
    </row>
    <row r="94" spans="1:33" x14ac:dyDescent="0.35">
      <c r="A94" t="s">
        <v>62</v>
      </c>
      <c r="B94" t="s">
        <v>36</v>
      </c>
      <c r="C94" t="s">
        <v>33</v>
      </c>
      <c r="D94" t="s">
        <v>33</v>
      </c>
      <c r="E94" t="s">
        <v>33</v>
      </c>
      <c r="F94" t="s">
        <v>33</v>
      </c>
      <c r="G94" t="s">
        <v>33</v>
      </c>
      <c r="H94" t="s">
        <v>33</v>
      </c>
      <c r="I94" t="s">
        <v>33</v>
      </c>
      <c r="J94" t="s">
        <v>33</v>
      </c>
      <c r="K94" t="s">
        <v>33</v>
      </c>
      <c r="L94" t="s">
        <v>33</v>
      </c>
      <c r="M94" t="s">
        <v>33</v>
      </c>
      <c r="N94" t="s">
        <v>33</v>
      </c>
      <c r="O94" s="3" t="str">
        <f>IFERROR(AVERAGE(tblMain[[#This Row],[Primary_Total]],tblMain[[#This Row],[Upper_Primary_Total]],tblMain[[#This Row],[Secondary_Total]],tblMain[[#This Row],[HrSecondary_Total]]), "NULL")</f>
        <v>NULL</v>
      </c>
      <c r="P94">
        <v>80.2</v>
      </c>
      <c r="Q94">
        <v>90.2</v>
      </c>
      <c r="R94">
        <v>84.8</v>
      </c>
      <c r="S94">
        <v>82.4</v>
      </c>
      <c r="T94">
        <v>92.6</v>
      </c>
      <c r="U94">
        <v>87</v>
      </c>
      <c r="V94">
        <v>83.6</v>
      </c>
      <c r="W94">
        <v>95.4</v>
      </c>
      <c r="X94">
        <v>89</v>
      </c>
      <c r="Y94">
        <v>64.7</v>
      </c>
      <c r="Z94">
        <v>87</v>
      </c>
      <c r="AA94">
        <v>74.8</v>
      </c>
      <c r="AB94">
        <v>100</v>
      </c>
      <c r="AC94" s="3">
        <f>IFERROR(AVERAGE(tblMain[[#This Row],[GER_Primary_Total]],tblMain[[#This Row],[GER_Upper_Primary_Total]],tblMain[[#This Row],[GER_Secondary_Total]],tblMain[[#This Row],[GER_HrSecondary_Girls]]),"NULL")</f>
        <v>86.95</v>
      </c>
      <c r="AD94">
        <v>100</v>
      </c>
      <c r="AE94">
        <v>98.8</v>
      </c>
      <c r="AF94">
        <v>100</v>
      </c>
      <c r="AG94">
        <v>100</v>
      </c>
    </row>
    <row r="95" spans="1:33" x14ac:dyDescent="0.35">
      <c r="A95" t="s">
        <v>63</v>
      </c>
      <c r="B95" t="s">
        <v>32</v>
      </c>
      <c r="C95">
        <v>2</v>
      </c>
      <c r="D95">
        <v>2</v>
      </c>
      <c r="E95">
        <v>2</v>
      </c>
      <c r="F95">
        <v>2.6</v>
      </c>
      <c r="G95">
        <v>3</v>
      </c>
      <c r="H95">
        <v>2.8</v>
      </c>
      <c r="I95">
        <v>9.4</v>
      </c>
      <c r="J95">
        <v>10.3</v>
      </c>
      <c r="K95">
        <v>9.8000000000000007</v>
      </c>
      <c r="L95">
        <v>9.6999999999999993</v>
      </c>
      <c r="M95">
        <v>6.5</v>
      </c>
      <c r="N95">
        <v>8.3000000000000007</v>
      </c>
      <c r="O95" s="3">
        <f>IFERROR(AVERAGE(tblMain[[#This Row],[Primary_Total]],tblMain[[#This Row],[Upper_Primary_Total]],tblMain[[#This Row],[Secondary_Total]],tblMain[[#This Row],[HrSecondary_Total]]), "NULL")</f>
        <v>5.7250000000000005</v>
      </c>
      <c r="P95" t="s">
        <v>33</v>
      </c>
      <c r="Q95" t="s">
        <v>33</v>
      </c>
      <c r="R95" t="s">
        <v>33</v>
      </c>
      <c r="S95" t="s">
        <v>33</v>
      </c>
      <c r="T95" t="s">
        <v>33</v>
      </c>
      <c r="U95" t="s">
        <v>33</v>
      </c>
      <c r="V95" t="s">
        <v>33</v>
      </c>
      <c r="W95" t="s">
        <v>33</v>
      </c>
      <c r="X95" t="s">
        <v>33</v>
      </c>
      <c r="Y95" t="s">
        <v>33</v>
      </c>
      <c r="Z95" t="s">
        <v>33</v>
      </c>
      <c r="AA95" t="s">
        <v>33</v>
      </c>
      <c r="AB95" t="s">
        <v>33</v>
      </c>
      <c r="AC95" t="str">
        <f>IFERROR(AVERAGE(tblMain[[#This Row],[GER_Primary_Total]],tblMain[[#This Row],[GER_Upper_Primary_Total]],tblMain[[#This Row],[GER_Secondary_Total]],tblMain[[#This Row],[GER_HrSecondary_Girls]]),"NULL")</f>
        <v>NULL</v>
      </c>
      <c r="AD95" t="s">
        <v>33</v>
      </c>
      <c r="AE95" t="s">
        <v>33</v>
      </c>
      <c r="AF95" t="s">
        <v>33</v>
      </c>
      <c r="AG95" t="s">
        <v>33</v>
      </c>
    </row>
    <row r="96" spans="1:33" x14ac:dyDescent="0.35">
      <c r="A96" t="s">
        <v>63</v>
      </c>
      <c r="B96" t="s">
        <v>34</v>
      </c>
      <c r="C96">
        <v>1.4</v>
      </c>
      <c r="D96">
        <v>1.2</v>
      </c>
      <c r="E96">
        <v>1.3</v>
      </c>
      <c r="F96">
        <v>2.5</v>
      </c>
      <c r="G96">
        <v>3.3</v>
      </c>
      <c r="H96">
        <v>2.9</v>
      </c>
      <c r="I96">
        <v>8.9</v>
      </c>
      <c r="J96">
        <v>8.6999999999999993</v>
      </c>
      <c r="K96">
        <v>8.8000000000000007</v>
      </c>
      <c r="L96">
        <v>7.9</v>
      </c>
      <c r="M96">
        <v>3.2</v>
      </c>
      <c r="N96">
        <v>5.8</v>
      </c>
      <c r="O96" s="3">
        <f>IFERROR(AVERAGE(tblMain[[#This Row],[Primary_Total]],tblMain[[#This Row],[Upper_Primary_Total]],tblMain[[#This Row],[Secondary_Total]],tblMain[[#This Row],[HrSecondary_Total]]), "NULL")</f>
        <v>4.7</v>
      </c>
      <c r="P96">
        <v>104.3</v>
      </c>
      <c r="Q96">
        <v>107.2</v>
      </c>
      <c r="R96">
        <v>105.6</v>
      </c>
      <c r="S96">
        <v>94</v>
      </c>
      <c r="T96">
        <v>97</v>
      </c>
      <c r="U96">
        <v>95.3</v>
      </c>
      <c r="V96">
        <v>87.7</v>
      </c>
      <c r="W96">
        <v>84.7</v>
      </c>
      <c r="X96">
        <v>86.4</v>
      </c>
      <c r="Y96">
        <v>72.099999999999994</v>
      </c>
      <c r="Z96">
        <v>71.400000000000006</v>
      </c>
      <c r="AA96">
        <v>71.8</v>
      </c>
      <c r="AB96">
        <v>97</v>
      </c>
      <c r="AC96" s="3">
        <f>IFERROR(AVERAGE(tblMain[[#This Row],[GER_Primary_Total]],tblMain[[#This Row],[GER_Upper_Primary_Total]],tblMain[[#This Row],[GER_Secondary_Total]],tblMain[[#This Row],[GER_HrSecondary_Girls]]),"NULL")</f>
        <v>89.674999999999983</v>
      </c>
      <c r="AD96">
        <v>97.8</v>
      </c>
      <c r="AE96">
        <v>52</v>
      </c>
      <c r="AF96">
        <v>99.9</v>
      </c>
      <c r="AG96">
        <v>99.8</v>
      </c>
    </row>
    <row r="97" spans="1:33" x14ac:dyDescent="0.35">
      <c r="A97" t="s">
        <v>63</v>
      </c>
      <c r="B97" t="s">
        <v>35</v>
      </c>
      <c r="C97">
        <v>2.9</v>
      </c>
      <c r="D97">
        <v>3.3</v>
      </c>
      <c r="E97">
        <v>3.1</v>
      </c>
      <c r="F97">
        <v>3</v>
      </c>
      <c r="G97">
        <v>3.6</v>
      </c>
      <c r="H97">
        <v>3.2</v>
      </c>
      <c r="I97">
        <v>9.1999999999999993</v>
      </c>
      <c r="J97">
        <v>8.4</v>
      </c>
      <c r="K97">
        <v>8.9</v>
      </c>
      <c r="L97">
        <v>7.5</v>
      </c>
      <c r="M97">
        <v>3.7</v>
      </c>
      <c r="N97">
        <v>5.8</v>
      </c>
      <c r="O97" s="3">
        <f>IFERROR(AVERAGE(tblMain[[#This Row],[Primary_Total]],tblMain[[#This Row],[Upper_Primary_Total]],tblMain[[#This Row],[Secondary_Total]],tblMain[[#This Row],[HrSecondary_Total]]), "NULL")</f>
        <v>5.25</v>
      </c>
      <c r="P97">
        <v>103.4</v>
      </c>
      <c r="Q97">
        <v>107.3</v>
      </c>
      <c r="R97">
        <v>105.1</v>
      </c>
      <c r="S97">
        <v>94.6</v>
      </c>
      <c r="T97">
        <v>99.7</v>
      </c>
      <c r="U97">
        <v>96.8</v>
      </c>
      <c r="V97">
        <v>85.7</v>
      </c>
      <c r="W97">
        <v>85.4</v>
      </c>
      <c r="X97">
        <v>85.6</v>
      </c>
      <c r="Y97">
        <v>68.599999999999994</v>
      </c>
      <c r="Z97">
        <v>70.400000000000006</v>
      </c>
      <c r="AA97">
        <v>69.400000000000006</v>
      </c>
      <c r="AB97">
        <v>97.4</v>
      </c>
      <c r="AC97" s="3">
        <f>IFERROR(AVERAGE(tblMain[[#This Row],[GER_Primary_Total]],tblMain[[#This Row],[GER_Upper_Primary_Total]],tblMain[[#This Row],[GER_Secondary_Total]],tblMain[[#This Row],[GER_HrSecondary_Girls]]),"NULL")</f>
        <v>89.474999999999994</v>
      </c>
      <c r="AD97">
        <v>99.1</v>
      </c>
      <c r="AE97">
        <v>52.5</v>
      </c>
      <c r="AF97">
        <v>99.9</v>
      </c>
      <c r="AG97">
        <v>100</v>
      </c>
    </row>
    <row r="98" spans="1:33" x14ac:dyDescent="0.35">
      <c r="A98" t="s">
        <v>63</v>
      </c>
      <c r="B98" t="s">
        <v>36</v>
      </c>
      <c r="C98" t="s">
        <v>33</v>
      </c>
      <c r="D98" t="s">
        <v>33</v>
      </c>
      <c r="E98" t="s">
        <v>33</v>
      </c>
      <c r="F98" t="s">
        <v>33</v>
      </c>
      <c r="G98" t="s">
        <v>33</v>
      </c>
      <c r="H98" t="s">
        <v>33</v>
      </c>
      <c r="I98" t="s">
        <v>33</v>
      </c>
      <c r="J98" t="s">
        <v>33</v>
      </c>
      <c r="K98" t="s">
        <v>33</v>
      </c>
      <c r="L98" t="s">
        <v>33</v>
      </c>
      <c r="M98" t="s">
        <v>33</v>
      </c>
      <c r="N98" t="s">
        <v>33</v>
      </c>
      <c r="O98" s="3" t="str">
        <f>IFERROR(AVERAGE(tblMain[[#This Row],[Primary_Total]],tblMain[[#This Row],[Upper_Primary_Total]],tblMain[[#This Row],[Secondary_Total]],tblMain[[#This Row],[HrSecondary_Total]]), "NULL")</f>
        <v>NULL</v>
      </c>
      <c r="P98">
        <v>99.9</v>
      </c>
      <c r="Q98">
        <v>104</v>
      </c>
      <c r="R98">
        <v>101.7</v>
      </c>
      <c r="S98">
        <v>95</v>
      </c>
      <c r="T98">
        <v>102.9</v>
      </c>
      <c r="U98">
        <v>98.4</v>
      </c>
      <c r="V98">
        <v>87.1</v>
      </c>
      <c r="W98">
        <v>87</v>
      </c>
      <c r="X98">
        <v>87.1</v>
      </c>
      <c r="Y98">
        <v>69</v>
      </c>
      <c r="Z98">
        <v>71.7</v>
      </c>
      <c r="AA98">
        <v>70.2</v>
      </c>
      <c r="AB98">
        <v>99.6</v>
      </c>
      <c r="AC98" s="3">
        <f>IFERROR(AVERAGE(tblMain[[#This Row],[GER_Primary_Total]],tblMain[[#This Row],[GER_Upper_Primary_Total]],tblMain[[#This Row],[GER_Secondary_Total]],tblMain[[#This Row],[GER_HrSecondary_Girls]]),"NULL")</f>
        <v>89.725000000000009</v>
      </c>
      <c r="AD98">
        <v>99.8</v>
      </c>
      <c r="AE98">
        <v>52.8</v>
      </c>
      <c r="AF98">
        <v>99.9</v>
      </c>
      <c r="AG98">
        <v>100</v>
      </c>
    </row>
    <row r="99" spans="1:33" x14ac:dyDescent="0.35">
      <c r="A99" t="s">
        <v>64</v>
      </c>
      <c r="B99" t="s">
        <v>34</v>
      </c>
      <c r="C99" t="s">
        <v>33</v>
      </c>
      <c r="D99" t="s">
        <v>33</v>
      </c>
      <c r="E99" t="s">
        <v>33</v>
      </c>
      <c r="F99" t="s">
        <v>33</v>
      </c>
      <c r="G99" t="s">
        <v>33</v>
      </c>
      <c r="H99" t="s">
        <v>33</v>
      </c>
      <c r="I99" t="s">
        <v>33</v>
      </c>
      <c r="J99" t="s">
        <v>33</v>
      </c>
      <c r="K99" t="s">
        <v>33</v>
      </c>
      <c r="L99" t="s">
        <v>33</v>
      </c>
      <c r="M99" t="s">
        <v>33</v>
      </c>
      <c r="N99" t="s">
        <v>33</v>
      </c>
      <c r="O99" s="3" t="str">
        <f>IFERROR(AVERAGE(tblMain[[#This Row],[Primary_Total]],tblMain[[#This Row],[Upper_Primary_Total]],tblMain[[#This Row],[Secondary_Total]],tblMain[[#This Row],[HrSecondary_Total]]), "NULL")</f>
        <v>NULL</v>
      </c>
      <c r="P99">
        <v>102.4</v>
      </c>
      <c r="Q99">
        <v>100.6</v>
      </c>
      <c r="R99">
        <v>101.5</v>
      </c>
      <c r="S99">
        <v>86.8</v>
      </c>
      <c r="T99">
        <v>81.900000000000006</v>
      </c>
      <c r="U99">
        <v>84.6</v>
      </c>
      <c r="V99">
        <v>85.3</v>
      </c>
      <c r="W99">
        <v>71</v>
      </c>
      <c r="X99">
        <v>78.7</v>
      </c>
      <c r="Y99">
        <v>60.5</v>
      </c>
      <c r="Z99">
        <v>44.5</v>
      </c>
      <c r="AA99">
        <v>53</v>
      </c>
      <c r="AB99">
        <v>96</v>
      </c>
      <c r="AC99" s="3">
        <f>IFERROR(AVERAGE(tblMain[[#This Row],[GER_Primary_Total]],tblMain[[#This Row],[GER_Upper_Primary_Total]],tblMain[[#This Row],[GER_Secondary_Total]],tblMain[[#This Row],[GER_HrSecondary_Girls]]),"NULL")</f>
        <v>77.325000000000003</v>
      </c>
      <c r="AD99">
        <v>97.9</v>
      </c>
      <c r="AE99">
        <v>23.5</v>
      </c>
      <c r="AF99">
        <v>52.1</v>
      </c>
      <c r="AG99">
        <v>96.3</v>
      </c>
    </row>
    <row r="100" spans="1:33" x14ac:dyDescent="0.35">
      <c r="A100" t="s">
        <v>64</v>
      </c>
      <c r="B100" t="s">
        <v>36</v>
      </c>
      <c r="C100" t="s">
        <v>33</v>
      </c>
      <c r="D100" t="s">
        <v>33</v>
      </c>
      <c r="E100" t="s">
        <v>33</v>
      </c>
      <c r="F100" t="s">
        <v>33</v>
      </c>
      <c r="G100" t="s">
        <v>33</v>
      </c>
      <c r="H100" t="s">
        <v>33</v>
      </c>
      <c r="I100" t="s">
        <v>33</v>
      </c>
      <c r="J100" t="s">
        <v>33</v>
      </c>
      <c r="K100" t="s">
        <v>33</v>
      </c>
      <c r="L100" t="s">
        <v>33</v>
      </c>
      <c r="M100" t="s">
        <v>33</v>
      </c>
      <c r="N100" t="s">
        <v>33</v>
      </c>
      <c r="O100" s="3" t="str">
        <f>IFERROR(AVERAGE(tblMain[[#This Row],[Primary_Total]],tblMain[[#This Row],[Upper_Primary_Total]],tblMain[[#This Row],[Secondary_Total]],tblMain[[#This Row],[HrSecondary_Total]]), "NULL")</f>
        <v>NULL</v>
      </c>
      <c r="P100">
        <v>101.3</v>
      </c>
      <c r="Q100">
        <v>99.5</v>
      </c>
      <c r="R100">
        <v>100.4</v>
      </c>
      <c r="S100">
        <v>91.5</v>
      </c>
      <c r="T100">
        <v>91.2</v>
      </c>
      <c r="U100">
        <v>91.3</v>
      </c>
      <c r="V100">
        <v>81.2</v>
      </c>
      <c r="W100">
        <v>70.099999999999994</v>
      </c>
      <c r="X100">
        <v>76.099999999999994</v>
      </c>
      <c r="Y100">
        <v>66.099999999999994</v>
      </c>
      <c r="Z100">
        <v>51.6</v>
      </c>
      <c r="AA100">
        <v>59.3</v>
      </c>
      <c r="AB100">
        <v>99.2</v>
      </c>
      <c r="AC100" s="3">
        <f>IFERROR(AVERAGE(tblMain[[#This Row],[GER_Primary_Total]],tblMain[[#This Row],[GER_Upper_Primary_Total]],tblMain[[#This Row],[GER_Secondary_Total]],tblMain[[#This Row],[GER_HrSecondary_Girls]]),"NULL")</f>
        <v>79.849999999999994</v>
      </c>
      <c r="AD100">
        <v>99.7</v>
      </c>
      <c r="AE100">
        <v>30.1</v>
      </c>
      <c r="AF100">
        <v>56.7</v>
      </c>
      <c r="AG100">
        <v>96.8</v>
      </c>
    </row>
    <row r="101" spans="1:33" x14ac:dyDescent="0.35">
      <c r="A101" t="s">
        <v>64</v>
      </c>
      <c r="B101" t="s">
        <v>35</v>
      </c>
      <c r="C101" t="s">
        <v>33</v>
      </c>
      <c r="D101" t="s">
        <v>33</v>
      </c>
      <c r="E101" t="s">
        <v>33</v>
      </c>
      <c r="F101" t="s">
        <v>33</v>
      </c>
      <c r="G101" t="s">
        <v>33</v>
      </c>
      <c r="H101" t="s">
        <v>33</v>
      </c>
      <c r="I101" t="s">
        <v>33</v>
      </c>
      <c r="J101" t="s">
        <v>33</v>
      </c>
      <c r="K101" t="s">
        <v>33</v>
      </c>
      <c r="L101" t="s">
        <v>33</v>
      </c>
      <c r="M101" t="s">
        <v>33</v>
      </c>
      <c r="N101" t="s">
        <v>33</v>
      </c>
      <c r="O101" s="3" t="str">
        <f>IFERROR(AVERAGE(tblMain[[#This Row],[Primary_Total]],tblMain[[#This Row],[Upper_Primary_Total]],tblMain[[#This Row],[Secondary_Total]],tblMain[[#This Row],[HrSecondary_Total]]), "NULL")</f>
        <v>NULL</v>
      </c>
      <c r="P101">
        <v>99.8</v>
      </c>
      <c r="Q101">
        <v>97.3</v>
      </c>
      <c r="R101">
        <v>98.6</v>
      </c>
      <c r="S101">
        <v>87.4</v>
      </c>
      <c r="T101">
        <v>83.9</v>
      </c>
      <c r="U101">
        <v>85.8</v>
      </c>
      <c r="V101">
        <v>82.7</v>
      </c>
      <c r="W101">
        <v>68.599999999999994</v>
      </c>
      <c r="X101">
        <v>76.2</v>
      </c>
      <c r="Y101">
        <v>63.9</v>
      </c>
      <c r="Z101">
        <v>48</v>
      </c>
      <c r="AA101">
        <v>56.5</v>
      </c>
      <c r="AB101">
        <v>96.9</v>
      </c>
      <c r="AC101" s="3">
        <f>IFERROR(AVERAGE(tblMain[[#This Row],[GER_Primary_Total]],tblMain[[#This Row],[GER_Upper_Primary_Total]],tblMain[[#This Row],[GER_Secondary_Total]],tblMain[[#This Row],[GER_HrSecondary_Girls]]),"NULL")</f>
        <v>77.149999999999991</v>
      </c>
      <c r="AD101">
        <v>98</v>
      </c>
      <c r="AE101">
        <v>28.6</v>
      </c>
      <c r="AF101">
        <v>55.3</v>
      </c>
      <c r="AG101">
        <v>97.1</v>
      </c>
    </row>
    <row r="102" spans="1:33" x14ac:dyDescent="0.35">
      <c r="A102" t="s">
        <v>65</v>
      </c>
      <c r="B102" t="s">
        <v>32</v>
      </c>
      <c r="C102">
        <v>4.8</v>
      </c>
      <c r="D102">
        <v>2.2999999999999998</v>
      </c>
      <c r="E102">
        <v>3.6</v>
      </c>
      <c r="F102">
        <v>2.6</v>
      </c>
      <c r="G102">
        <v>3.6</v>
      </c>
      <c r="H102">
        <v>3.2</v>
      </c>
      <c r="I102">
        <v>9.9</v>
      </c>
      <c r="J102">
        <v>8.6</v>
      </c>
      <c r="K102">
        <v>9.1999999999999993</v>
      </c>
      <c r="L102">
        <v>11.8</v>
      </c>
      <c r="M102">
        <v>4.9000000000000004</v>
      </c>
      <c r="N102">
        <v>8.1</v>
      </c>
      <c r="O102" s="3">
        <f>IFERROR(AVERAGE(tblMain[[#This Row],[Primary_Total]],tblMain[[#This Row],[Upper_Primary_Total]],tblMain[[#This Row],[Secondary_Total]],tblMain[[#This Row],[HrSecondary_Total]]), "NULL")</f>
        <v>6.0250000000000004</v>
      </c>
      <c r="P102" t="s">
        <v>33</v>
      </c>
      <c r="Q102" t="s">
        <v>33</v>
      </c>
      <c r="R102" t="s">
        <v>33</v>
      </c>
      <c r="S102" t="s">
        <v>33</v>
      </c>
      <c r="T102" t="s">
        <v>33</v>
      </c>
      <c r="U102" t="s">
        <v>33</v>
      </c>
      <c r="V102" t="s">
        <v>33</v>
      </c>
      <c r="W102" t="s">
        <v>33</v>
      </c>
      <c r="X102" t="s">
        <v>33</v>
      </c>
      <c r="Y102" t="s">
        <v>33</v>
      </c>
      <c r="Z102" t="s">
        <v>33</v>
      </c>
      <c r="AA102" t="s">
        <v>33</v>
      </c>
      <c r="AB102" t="s">
        <v>33</v>
      </c>
      <c r="AC102" t="str">
        <f>IFERROR(AVERAGE(tblMain[[#This Row],[GER_Primary_Total]],tblMain[[#This Row],[GER_Upper_Primary_Total]],tblMain[[#This Row],[GER_Secondary_Total]],tblMain[[#This Row],[GER_HrSecondary_Girls]]),"NULL")</f>
        <v>NULL</v>
      </c>
      <c r="AD102" t="s">
        <v>33</v>
      </c>
      <c r="AE102" t="s">
        <v>33</v>
      </c>
      <c r="AF102" t="s">
        <v>33</v>
      </c>
      <c r="AG102" t="s">
        <v>33</v>
      </c>
    </row>
    <row r="103" spans="1:33" x14ac:dyDescent="0.35">
      <c r="A103" t="s">
        <v>65</v>
      </c>
      <c r="B103" t="s">
        <v>34</v>
      </c>
      <c r="C103">
        <v>5.6</v>
      </c>
      <c r="D103">
        <v>3.5</v>
      </c>
      <c r="E103">
        <v>4.5999999999999996</v>
      </c>
      <c r="F103">
        <v>6.4</v>
      </c>
      <c r="G103">
        <v>4</v>
      </c>
      <c r="H103">
        <v>5.0999999999999996</v>
      </c>
      <c r="I103">
        <v>13.7</v>
      </c>
      <c r="J103">
        <v>12.1</v>
      </c>
      <c r="K103">
        <v>12.9</v>
      </c>
      <c r="L103">
        <v>14.1</v>
      </c>
      <c r="M103">
        <v>11.9</v>
      </c>
      <c r="N103">
        <v>12.9</v>
      </c>
      <c r="O103" s="3">
        <f>IFERROR(AVERAGE(tblMain[[#This Row],[Primary_Total]],tblMain[[#This Row],[Upper_Primary_Total]],tblMain[[#This Row],[Secondary_Total]],tblMain[[#This Row],[HrSecondary_Total]]), "NULL")</f>
        <v>8.875</v>
      </c>
      <c r="P103">
        <v>128.19999999999999</v>
      </c>
      <c r="Q103">
        <v>120.6</v>
      </c>
      <c r="R103">
        <v>124.4</v>
      </c>
      <c r="S103">
        <v>133</v>
      </c>
      <c r="T103">
        <v>115</v>
      </c>
      <c r="U103">
        <v>138.80000000000001</v>
      </c>
      <c r="V103">
        <v>90.2</v>
      </c>
      <c r="W103">
        <v>106.7</v>
      </c>
      <c r="X103">
        <v>98.4</v>
      </c>
      <c r="Y103">
        <v>54.8</v>
      </c>
      <c r="Z103">
        <v>70.599999999999994</v>
      </c>
      <c r="AA103">
        <v>62.6</v>
      </c>
      <c r="AB103">
        <v>97</v>
      </c>
      <c r="AC103" s="3">
        <f>IFERROR(AVERAGE(tblMain[[#This Row],[GER_Primary_Total]],tblMain[[#This Row],[GER_Upper_Primary_Total]],tblMain[[#This Row],[GER_Secondary_Total]],tblMain[[#This Row],[GER_HrSecondary_Girls]]),"NULL")</f>
        <v>108.05000000000001</v>
      </c>
      <c r="AD103">
        <v>99.3</v>
      </c>
      <c r="AE103">
        <v>53.3</v>
      </c>
      <c r="AF103">
        <v>69.3</v>
      </c>
      <c r="AG103">
        <v>97.2</v>
      </c>
    </row>
    <row r="104" spans="1:33" x14ac:dyDescent="0.35">
      <c r="A104" t="s">
        <v>65</v>
      </c>
      <c r="B104" t="s">
        <v>35</v>
      </c>
      <c r="C104">
        <v>3.8</v>
      </c>
      <c r="D104">
        <v>0.6</v>
      </c>
      <c r="E104">
        <v>2.2999999999999998</v>
      </c>
      <c r="F104">
        <v>2.1</v>
      </c>
      <c r="G104">
        <v>1.1000000000000001</v>
      </c>
      <c r="H104">
        <v>1.6</v>
      </c>
      <c r="I104">
        <v>17.600000000000001</v>
      </c>
      <c r="J104">
        <v>14.4</v>
      </c>
      <c r="K104">
        <v>15.9</v>
      </c>
      <c r="L104">
        <v>12.5</v>
      </c>
      <c r="M104">
        <v>11.2</v>
      </c>
      <c r="N104">
        <v>11.8</v>
      </c>
      <c r="O104" s="3">
        <f>IFERROR(AVERAGE(tblMain[[#This Row],[Primary_Total]],tblMain[[#This Row],[Upper_Primary_Total]],tblMain[[#This Row],[Secondary_Total]],tblMain[[#This Row],[HrSecondary_Total]]), "NULL")</f>
        <v>7.9</v>
      </c>
      <c r="P104">
        <v>117</v>
      </c>
      <c r="Q104">
        <v>108.1</v>
      </c>
      <c r="R104">
        <v>112.6</v>
      </c>
      <c r="S104">
        <v>134</v>
      </c>
      <c r="T104">
        <v>147.69999999999999</v>
      </c>
      <c r="U104">
        <v>140.69999999999999</v>
      </c>
      <c r="V104">
        <v>104.1</v>
      </c>
      <c r="W104">
        <v>118.5</v>
      </c>
      <c r="X104">
        <v>111.3</v>
      </c>
      <c r="Y104">
        <v>60.6</v>
      </c>
      <c r="Z104">
        <v>76.7</v>
      </c>
      <c r="AA104">
        <v>68.599999999999994</v>
      </c>
      <c r="AB104">
        <v>98.2</v>
      </c>
      <c r="AC104" s="3">
        <f>IFERROR(AVERAGE(tblMain[[#This Row],[GER_Primary_Total]],tblMain[[#This Row],[GER_Upper_Primary_Total]],tblMain[[#This Row],[GER_Secondary_Total]],tblMain[[#This Row],[GER_HrSecondary_Girls]]),"NULL")</f>
        <v>110.32499999999999</v>
      </c>
      <c r="AD104">
        <v>98.9</v>
      </c>
      <c r="AE104">
        <v>58.6</v>
      </c>
      <c r="AF104">
        <v>70.7</v>
      </c>
      <c r="AG104">
        <v>97.2</v>
      </c>
    </row>
    <row r="105" spans="1:33" x14ac:dyDescent="0.35">
      <c r="A105" t="s">
        <v>65</v>
      </c>
      <c r="B105" t="s">
        <v>36</v>
      </c>
      <c r="C105" t="s">
        <v>33</v>
      </c>
      <c r="D105" t="s">
        <v>33</v>
      </c>
      <c r="E105" t="s">
        <v>33</v>
      </c>
      <c r="F105" t="s">
        <v>33</v>
      </c>
      <c r="G105" t="s">
        <v>33</v>
      </c>
      <c r="H105" t="s">
        <v>33</v>
      </c>
      <c r="I105" t="s">
        <v>33</v>
      </c>
      <c r="J105" t="s">
        <v>33</v>
      </c>
      <c r="K105" t="s">
        <v>33</v>
      </c>
      <c r="L105" t="s">
        <v>33</v>
      </c>
      <c r="M105" t="s">
        <v>33</v>
      </c>
      <c r="N105" t="s">
        <v>33</v>
      </c>
      <c r="O105" s="3" t="str">
        <f>IFERROR(AVERAGE(tblMain[[#This Row],[Primary_Total]],tblMain[[#This Row],[Upper_Primary_Total]],tblMain[[#This Row],[Secondary_Total]],tblMain[[#This Row],[HrSecondary_Total]]), "NULL")</f>
        <v>NULL</v>
      </c>
      <c r="P105">
        <v>107.3</v>
      </c>
      <c r="Q105">
        <v>98.3</v>
      </c>
      <c r="R105">
        <v>102.9</v>
      </c>
      <c r="S105">
        <v>143.69999999999999</v>
      </c>
      <c r="T105">
        <v>157.9</v>
      </c>
      <c r="U105">
        <v>150.6</v>
      </c>
      <c r="V105">
        <v>113.5</v>
      </c>
      <c r="W105">
        <v>126.1</v>
      </c>
      <c r="X105">
        <v>119.8</v>
      </c>
      <c r="Y105">
        <v>60.7</v>
      </c>
      <c r="Z105">
        <v>75.900000000000006</v>
      </c>
      <c r="AA105">
        <v>68.2</v>
      </c>
      <c r="AB105">
        <v>99.8</v>
      </c>
      <c r="AC105" s="3">
        <f>IFERROR(AVERAGE(tblMain[[#This Row],[GER_Primary_Total]],tblMain[[#This Row],[GER_Upper_Primary_Total]],tblMain[[#This Row],[GER_Secondary_Total]],tblMain[[#This Row],[GER_HrSecondary_Girls]]),"NULL")</f>
        <v>112.30000000000001</v>
      </c>
      <c r="AD105">
        <v>99.8</v>
      </c>
      <c r="AE105">
        <v>60.4</v>
      </c>
      <c r="AF105">
        <v>84</v>
      </c>
      <c r="AG105">
        <v>98.5</v>
      </c>
    </row>
    <row r="106" spans="1:33" x14ac:dyDescent="0.35">
      <c r="A106" t="s">
        <v>66</v>
      </c>
      <c r="B106" t="s">
        <v>32</v>
      </c>
      <c r="C106">
        <v>4</v>
      </c>
      <c r="D106">
        <v>4.0999999999999996</v>
      </c>
      <c r="E106">
        <v>4.0999999999999996</v>
      </c>
      <c r="F106">
        <v>0.4</v>
      </c>
      <c r="G106">
        <v>2.1</v>
      </c>
      <c r="H106">
        <v>1.2</v>
      </c>
      <c r="I106">
        <v>14.3</v>
      </c>
      <c r="J106">
        <v>5.9</v>
      </c>
      <c r="K106">
        <v>10.199999999999999</v>
      </c>
      <c r="L106">
        <v>1.3</v>
      </c>
      <c r="M106">
        <v>2.2999999999999998</v>
      </c>
      <c r="N106">
        <v>1.9</v>
      </c>
      <c r="O106" s="3">
        <f>IFERROR(AVERAGE(tblMain[[#This Row],[Primary_Total]],tblMain[[#This Row],[Upper_Primary_Total]],tblMain[[#This Row],[Secondary_Total]],tblMain[[#This Row],[HrSecondary_Total]]), "NULL")</f>
        <v>4.3499999999999996</v>
      </c>
      <c r="P106" t="s">
        <v>33</v>
      </c>
      <c r="Q106" t="s">
        <v>33</v>
      </c>
      <c r="R106" t="s">
        <v>33</v>
      </c>
      <c r="S106" t="s">
        <v>33</v>
      </c>
      <c r="T106" t="s">
        <v>33</v>
      </c>
      <c r="U106" t="s">
        <v>33</v>
      </c>
      <c r="V106" t="s">
        <v>33</v>
      </c>
      <c r="W106" t="s">
        <v>33</v>
      </c>
      <c r="X106" t="s">
        <v>33</v>
      </c>
      <c r="Y106" t="s">
        <v>33</v>
      </c>
      <c r="Z106" t="s">
        <v>33</v>
      </c>
      <c r="AA106" t="s">
        <v>33</v>
      </c>
      <c r="AB106" t="s">
        <v>33</v>
      </c>
      <c r="AC106" t="str">
        <f>IFERROR(AVERAGE(tblMain[[#This Row],[GER_Primary_Total]],tblMain[[#This Row],[GER_Upper_Primary_Total]],tblMain[[#This Row],[GER_Secondary_Total]],tblMain[[#This Row],[GER_HrSecondary_Girls]]),"NULL")</f>
        <v>NULL</v>
      </c>
      <c r="AD106" t="s">
        <v>33</v>
      </c>
      <c r="AE106" t="s">
        <v>33</v>
      </c>
      <c r="AF106" t="s">
        <v>33</v>
      </c>
      <c r="AG106" t="s">
        <v>33</v>
      </c>
    </row>
    <row r="107" spans="1:33" x14ac:dyDescent="0.35">
      <c r="A107" t="s">
        <v>66</v>
      </c>
      <c r="B107" t="s">
        <v>34</v>
      </c>
      <c r="C107">
        <v>0.5</v>
      </c>
      <c r="D107">
        <v>0.4</v>
      </c>
      <c r="E107">
        <v>0.5</v>
      </c>
      <c r="F107">
        <v>4.4000000000000004</v>
      </c>
      <c r="G107">
        <v>4.7</v>
      </c>
      <c r="H107">
        <v>4.5</v>
      </c>
      <c r="I107">
        <v>16.100000000000001</v>
      </c>
      <c r="J107">
        <v>8</v>
      </c>
      <c r="K107">
        <v>12.2</v>
      </c>
      <c r="L107">
        <v>4.5999999999999996</v>
      </c>
      <c r="M107">
        <v>4.4000000000000004</v>
      </c>
      <c r="N107">
        <v>4.4000000000000004</v>
      </c>
      <c r="O107" s="3">
        <f>IFERROR(AVERAGE(tblMain[[#This Row],[Primary_Total]],tblMain[[#This Row],[Upper_Primary_Total]],tblMain[[#This Row],[Secondary_Total]],tblMain[[#This Row],[HrSecondary_Total]]), "NULL")</f>
        <v>5.4</v>
      </c>
      <c r="P107">
        <v>102.4</v>
      </c>
      <c r="Q107">
        <v>102.7</v>
      </c>
      <c r="R107">
        <v>102.6</v>
      </c>
      <c r="S107">
        <v>97.2</v>
      </c>
      <c r="T107">
        <v>99.5</v>
      </c>
      <c r="U107">
        <v>98.3</v>
      </c>
      <c r="V107">
        <v>91.8</v>
      </c>
      <c r="W107">
        <v>93.3</v>
      </c>
      <c r="X107">
        <v>92.5</v>
      </c>
      <c r="Y107">
        <v>68</v>
      </c>
      <c r="Z107">
        <v>84.5</v>
      </c>
      <c r="AA107">
        <v>75.900000000000006</v>
      </c>
      <c r="AB107">
        <v>90.9</v>
      </c>
      <c r="AC107" s="3">
        <f>IFERROR(AVERAGE(tblMain[[#This Row],[GER_Primary_Total]],tblMain[[#This Row],[GER_Upper_Primary_Total]],tblMain[[#This Row],[GER_Secondary_Total]],tblMain[[#This Row],[GER_HrSecondary_Girls]]),"NULL")</f>
        <v>94.474999999999994</v>
      </c>
      <c r="AD107">
        <v>96.9</v>
      </c>
      <c r="AE107">
        <v>54.1</v>
      </c>
      <c r="AF107">
        <v>97.7</v>
      </c>
      <c r="AG107">
        <v>100</v>
      </c>
    </row>
    <row r="108" spans="1:33" x14ac:dyDescent="0.35">
      <c r="A108" t="s">
        <v>66</v>
      </c>
      <c r="B108" t="s">
        <v>36</v>
      </c>
      <c r="C108" t="s">
        <v>33</v>
      </c>
      <c r="D108" t="s">
        <v>33</v>
      </c>
      <c r="E108" t="s">
        <v>33</v>
      </c>
      <c r="F108" t="s">
        <v>33</v>
      </c>
      <c r="G108" t="s">
        <v>33</v>
      </c>
      <c r="H108" t="s">
        <v>33</v>
      </c>
      <c r="I108" t="s">
        <v>33</v>
      </c>
      <c r="J108" t="s">
        <v>33</v>
      </c>
      <c r="K108" t="s">
        <v>33</v>
      </c>
      <c r="L108" t="s">
        <v>33</v>
      </c>
      <c r="M108" t="s">
        <v>33</v>
      </c>
      <c r="N108" t="s">
        <v>33</v>
      </c>
      <c r="O108" s="3" t="str">
        <f>IFERROR(AVERAGE(tblMain[[#This Row],[Primary_Total]],tblMain[[#This Row],[Upper_Primary_Total]],tblMain[[#This Row],[Secondary_Total]],tblMain[[#This Row],[HrSecondary_Total]]), "NULL")</f>
        <v>NULL</v>
      </c>
      <c r="P108">
        <v>103.4</v>
      </c>
      <c r="Q108">
        <v>104.4</v>
      </c>
      <c r="R108">
        <v>103.9</v>
      </c>
      <c r="S108">
        <v>92.6</v>
      </c>
      <c r="T108">
        <v>95.7</v>
      </c>
      <c r="U108">
        <v>94</v>
      </c>
      <c r="V108">
        <v>91.9</v>
      </c>
      <c r="W108">
        <v>96.2</v>
      </c>
      <c r="X108">
        <v>93.9</v>
      </c>
      <c r="Y108">
        <v>74.099999999999994</v>
      </c>
      <c r="Z108">
        <v>90.6</v>
      </c>
      <c r="AA108">
        <v>82</v>
      </c>
      <c r="AB108">
        <v>99.7</v>
      </c>
      <c r="AC108" s="3">
        <f>IFERROR(AVERAGE(tblMain[[#This Row],[GER_Primary_Total]],tblMain[[#This Row],[GER_Upper_Primary_Total]],tblMain[[#This Row],[GER_Secondary_Total]],tblMain[[#This Row],[GER_HrSecondary_Girls]]),"NULL")</f>
        <v>95.6</v>
      </c>
      <c r="AD108">
        <v>99.9</v>
      </c>
      <c r="AE108">
        <v>57.6</v>
      </c>
      <c r="AF108">
        <v>99.1</v>
      </c>
      <c r="AG108">
        <v>100</v>
      </c>
    </row>
    <row r="109" spans="1:33" x14ac:dyDescent="0.35">
      <c r="A109" t="s">
        <v>66</v>
      </c>
      <c r="B109" t="s">
        <v>35</v>
      </c>
      <c r="C109" t="s">
        <v>33</v>
      </c>
      <c r="D109" t="s">
        <v>33</v>
      </c>
      <c r="E109" t="s">
        <v>33</v>
      </c>
      <c r="F109" t="s">
        <v>33</v>
      </c>
      <c r="G109" t="s">
        <v>33</v>
      </c>
      <c r="H109" t="s">
        <v>33</v>
      </c>
      <c r="I109" t="s">
        <v>33</v>
      </c>
      <c r="J109" t="s">
        <v>33</v>
      </c>
      <c r="K109" t="s">
        <v>33</v>
      </c>
      <c r="L109" t="s">
        <v>33</v>
      </c>
      <c r="M109" t="s">
        <v>33</v>
      </c>
      <c r="N109" t="s">
        <v>33</v>
      </c>
      <c r="O109" s="3" t="str">
        <f>IFERROR(AVERAGE(tblMain[[#This Row],[Primary_Total]],tblMain[[#This Row],[Upper_Primary_Total]],tblMain[[#This Row],[Secondary_Total]],tblMain[[#This Row],[HrSecondary_Total]]), "NULL")</f>
        <v>NULL</v>
      </c>
      <c r="P109">
        <v>102.8</v>
      </c>
      <c r="Q109">
        <v>103.5</v>
      </c>
      <c r="R109">
        <v>103.1</v>
      </c>
      <c r="S109">
        <v>93.4</v>
      </c>
      <c r="T109">
        <v>95.9</v>
      </c>
      <c r="U109">
        <v>94.6</v>
      </c>
      <c r="V109">
        <v>90.2</v>
      </c>
      <c r="W109">
        <v>93.7</v>
      </c>
      <c r="X109">
        <v>91.9</v>
      </c>
      <c r="Y109">
        <v>70</v>
      </c>
      <c r="Z109">
        <v>85.7</v>
      </c>
      <c r="AA109">
        <v>77.5</v>
      </c>
      <c r="AB109">
        <v>99.3</v>
      </c>
      <c r="AC109" s="3">
        <f>IFERROR(AVERAGE(tblMain[[#This Row],[GER_Primary_Total]],tblMain[[#This Row],[GER_Upper_Primary_Total]],tblMain[[#This Row],[GER_Secondary_Total]],tblMain[[#This Row],[GER_HrSecondary_Girls]]),"NULL")</f>
        <v>93.825000000000003</v>
      </c>
      <c r="AD109">
        <v>99.7</v>
      </c>
      <c r="AE109">
        <v>57.3</v>
      </c>
      <c r="AF109">
        <v>98.5</v>
      </c>
      <c r="AG109">
        <v>99.8</v>
      </c>
    </row>
    <row r="110" spans="1:33" x14ac:dyDescent="0.35">
      <c r="A110" t="s">
        <v>67</v>
      </c>
      <c r="B110" t="s">
        <v>34</v>
      </c>
      <c r="C110">
        <v>6</v>
      </c>
      <c r="D110">
        <v>5.6</v>
      </c>
      <c r="E110">
        <v>5.8</v>
      </c>
      <c r="F110">
        <v>4.5999999999999996</v>
      </c>
      <c r="G110">
        <v>4.8</v>
      </c>
      <c r="H110">
        <v>4.7</v>
      </c>
      <c r="I110">
        <v>18</v>
      </c>
      <c r="J110">
        <v>16.899999999999999</v>
      </c>
      <c r="K110">
        <v>17.399999999999999</v>
      </c>
      <c r="L110">
        <v>13.7</v>
      </c>
      <c r="M110">
        <v>13.2</v>
      </c>
      <c r="N110">
        <v>13.4</v>
      </c>
      <c r="O110" s="3">
        <f>IFERROR(AVERAGE(tblMain[[#This Row],[Primary_Total]],tblMain[[#This Row],[Upper_Primary_Total]],tblMain[[#This Row],[Secondary_Total]],tblMain[[#This Row],[HrSecondary_Total]]), "NULL")</f>
        <v>10.324999999999999</v>
      </c>
      <c r="P110" t="s">
        <v>33</v>
      </c>
      <c r="Q110" t="s">
        <v>33</v>
      </c>
      <c r="R110" t="s">
        <v>33</v>
      </c>
      <c r="S110" t="s">
        <v>33</v>
      </c>
      <c r="T110" t="s">
        <v>33</v>
      </c>
      <c r="U110" t="s">
        <v>33</v>
      </c>
      <c r="V110" t="s">
        <v>33</v>
      </c>
      <c r="W110" t="s">
        <v>33</v>
      </c>
      <c r="X110" t="s">
        <v>33</v>
      </c>
      <c r="Y110" t="s">
        <v>33</v>
      </c>
      <c r="Z110" t="s">
        <v>33</v>
      </c>
      <c r="AA110" t="s">
        <v>33</v>
      </c>
      <c r="AB110" t="s">
        <v>33</v>
      </c>
      <c r="AC110" t="str">
        <f>IFERROR(AVERAGE(tblMain[[#This Row],[GER_Primary_Total]],tblMain[[#This Row],[GER_Upper_Primary_Total]],tblMain[[#This Row],[GER_Secondary_Total]],tblMain[[#This Row],[GER_HrSecondary_Girls]]),"NULL")</f>
        <v>NULL</v>
      </c>
      <c r="AD110" t="s">
        <v>33</v>
      </c>
      <c r="AE110" t="s">
        <v>33</v>
      </c>
      <c r="AF110" t="s">
        <v>33</v>
      </c>
      <c r="AG110" t="s">
        <v>33</v>
      </c>
    </row>
    <row r="111" spans="1:33" x14ac:dyDescent="0.35">
      <c r="A111" t="s">
        <v>67</v>
      </c>
      <c r="B111" t="s">
        <v>35</v>
      </c>
      <c r="C111">
        <v>2.2000000000000002</v>
      </c>
      <c r="D111">
        <v>1.9</v>
      </c>
      <c r="E111">
        <v>2.1</v>
      </c>
      <c r="F111">
        <v>2.4</v>
      </c>
      <c r="G111">
        <v>2.2000000000000002</v>
      </c>
      <c r="H111">
        <v>2.2999999999999998</v>
      </c>
      <c r="I111">
        <v>16.5</v>
      </c>
      <c r="J111">
        <v>14.5</v>
      </c>
      <c r="K111">
        <v>15.5</v>
      </c>
      <c r="L111">
        <v>2.1</v>
      </c>
      <c r="M111">
        <v>7.9</v>
      </c>
      <c r="N111">
        <v>0.8</v>
      </c>
      <c r="O111" s="3">
        <f>IFERROR(AVERAGE(tblMain[[#This Row],[Primary_Total]],tblMain[[#This Row],[Upper_Primary_Total]],tblMain[[#This Row],[Secondary_Total]],tblMain[[#This Row],[HrSecondary_Total]]), "NULL")</f>
        <v>5.1749999999999998</v>
      </c>
      <c r="P111">
        <v>103.6</v>
      </c>
      <c r="Q111">
        <v>103.6</v>
      </c>
      <c r="R111">
        <v>103.6</v>
      </c>
      <c r="S111">
        <v>89.9</v>
      </c>
      <c r="T111">
        <v>91.9</v>
      </c>
      <c r="U111">
        <v>90.9</v>
      </c>
      <c r="V111">
        <v>79.7</v>
      </c>
      <c r="W111">
        <v>85</v>
      </c>
      <c r="X111">
        <v>82.3</v>
      </c>
      <c r="Y111">
        <v>55.6</v>
      </c>
      <c r="Z111">
        <v>61.3</v>
      </c>
      <c r="AA111">
        <v>58.3</v>
      </c>
      <c r="AB111">
        <v>73.400000000000006</v>
      </c>
      <c r="AC111" s="3">
        <f>IFERROR(AVERAGE(tblMain[[#This Row],[GER_Primary_Total]],tblMain[[#This Row],[GER_Upper_Primary_Total]],tblMain[[#This Row],[GER_Secondary_Total]],tblMain[[#This Row],[GER_HrSecondary_Girls]]),"NULL")</f>
        <v>84.525000000000006</v>
      </c>
      <c r="AD111">
        <v>92.1</v>
      </c>
      <c r="AE111">
        <v>37.9</v>
      </c>
      <c r="AF111">
        <v>91.1</v>
      </c>
      <c r="AG111">
        <v>93.6</v>
      </c>
    </row>
    <row r="112" spans="1:33" x14ac:dyDescent="0.35">
      <c r="A112" t="s">
        <v>67</v>
      </c>
      <c r="B112" t="s">
        <v>36</v>
      </c>
      <c r="C112" t="s">
        <v>33</v>
      </c>
      <c r="D112" t="s">
        <v>33</v>
      </c>
      <c r="E112" t="s">
        <v>33</v>
      </c>
      <c r="F112" t="s">
        <v>33</v>
      </c>
      <c r="G112" t="s">
        <v>33</v>
      </c>
      <c r="H112" t="s">
        <v>33</v>
      </c>
      <c r="I112" t="s">
        <v>33</v>
      </c>
      <c r="J112" t="s">
        <v>33</v>
      </c>
      <c r="K112" t="s">
        <v>33</v>
      </c>
      <c r="L112" t="s">
        <v>33</v>
      </c>
      <c r="M112" t="s">
        <v>33</v>
      </c>
      <c r="N112" t="s">
        <v>33</v>
      </c>
      <c r="O112" s="3" t="str">
        <f>IFERROR(AVERAGE(tblMain[[#This Row],[Primary_Total]],tblMain[[#This Row],[Upper_Primary_Total]],tblMain[[#This Row],[Secondary_Total]],tblMain[[#This Row],[HrSecondary_Total]]), "NULL")</f>
        <v>NULL</v>
      </c>
      <c r="P112">
        <v>103.1</v>
      </c>
      <c r="Q112">
        <v>102.9</v>
      </c>
      <c r="R112">
        <v>103</v>
      </c>
      <c r="S112">
        <v>88.6</v>
      </c>
      <c r="T112">
        <v>90.3</v>
      </c>
      <c r="U112">
        <v>89.4</v>
      </c>
      <c r="V112">
        <v>80.7</v>
      </c>
      <c r="W112">
        <v>84.4</v>
      </c>
      <c r="X112">
        <v>82.5</v>
      </c>
      <c r="Y112">
        <v>58</v>
      </c>
      <c r="Z112">
        <v>64.900000000000006</v>
      </c>
      <c r="AA112">
        <v>61.3</v>
      </c>
      <c r="AB112">
        <v>100</v>
      </c>
      <c r="AC112" s="3">
        <f>IFERROR(AVERAGE(tblMain[[#This Row],[GER_Primary_Total]],tblMain[[#This Row],[GER_Upper_Primary_Total]],tblMain[[#This Row],[GER_Secondary_Total]],tblMain[[#This Row],[GER_HrSecondary_Girls]]),"NULL")</f>
        <v>84.949999999999989</v>
      </c>
      <c r="AD112">
        <v>100</v>
      </c>
      <c r="AE112">
        <v>35.5</v>
      </c>
      <c r="AF112">
        <v>91.6</v>
      </c>
      <c r="AG112">
        <v>94</v>
      </c>
    </row>
    <row r="113" spans="1:33" x14ac:dyDescent="0.35">
      <c r="A113" t="s">
        <v>68</v>
      </c>
      <c r="B113" t="s">
        <v>32</v>
      </c>
      <c r="C113">
        <v>2.2999999999999998</v>
      </c>
      <c r="D113">
        <v>2.1</v>
      </c>
      <c r="E113">
        <v>2.2000000000000002</v>
      </c>
      <c r="F113">
        <v>3.1</v>
      </c>
      <c r="G113">
        <v>3.1</v>
      </c>
      <c r="H113">
        <v>3.1</v>
      </c>
      <c r="I113">
        <v>24.1</v>
      </c>
      <c r="J113">
        <v>27</v>
      </c>
      <c r="K113">
        <v>25.5</v>
      </c>
      <c r="L113">
        <v>8.4</v>
      </c>
      <c r="M113">
        <v>9.5</v>
      </c>
      <c r="N113">
        <v>8.9</v>
      </c>
      <c r="O113" s="3">
        <f>IFERROR(AVERAGE(tblMain[[#This Row],[Primary_Total]],tblMain[[#This Row],[Upper_Primary_Total]],tblMain[[#This Row],[Secondary_Total]],tblMain[[#This Row],[HrSecondary_Total]]), "NULL")</f>
        <v>9.9250000000000007</v>
      </c>
      <c r="P113" t="s">
        <v>33</v>
      </c>
      <c r="Q113" t="s">
        <v>33</v>
      </c>
      <c r="R113" t="s">
        <v>33</v>
      </c>
      <c r="S113" t="s">
        <v>33</v>
      </c>
      <c r="T113" t="s">
        <v>33</v>
      </c>
      <c r="U113" t="s">
        <v>33</v>
      </c>
      <c r="V113" t="s">
        <v>33</v>
      </c>
      <c r="W113" t="s">
        <v>33</v>
      </c>
      <c r="X113" t="s">
        <v>33</v>
      </c>
      <c r="Y113" t="s">
        <v>33</v>
      </c>
      <c r="Z113" t="s">
        <v>33</v>
      </c>
      <c r="AA113" t="s">
        <v>33</v>
      </c>
      <c r="AB113" t="s">
        <v>33</v>
      </c>
      <c r="AC113" t="str">
        <f>IFERROR(AVERAGE(tblMain[[#This Row],[GER_Primary_Total]],tblMain[[#This Row],[GER_Upper_Primary_Total]],tblMain[[#This Row],[GER_Secondary_Total]],tblMain[[#This Row],[GER_HrSecondary_Girls]]),"NULL")</f>
        <v>NULL</v>
      </c>
      <c r="AD113" t="s">
        <v>33</v>
      </c>
      <c r="AE113" t="s">
        <v>33</v>
      </c>
      <c r="AF113" t="s">
        <v>33</v>
      </c>
      <c r="AG113" t="s">
        <v>33</v>
      </c>
    </row>
    <row r="114" spans="1:33" x14ac:dyDescent="0.35">
      <c r="A114" t="s">
        <v>68</v>
      </c>
      <c r="B114" t="s">
        <v>34</v>
      </c>
      <c r="C114">
        <v>3.6</v>
      </c>
      <c r="D114">
        <v>3.5</v>
      </c>
      <c r="E114">
        <v>3.6</v>
      </c>
      <c r="F114">
        <v>3.2</v>
      </c>
      <c r="G114">
        <v>2.2000000000000002</v>
      </c>
      <c r="H114">
        <v>2.7</v>
      </c>
      <c r="I114">
        <v>24.5</v>
      </c>
      <c r="J114">
        <v>25.7</v>
      </c>
      <c r="K114">
        <v>25.1</v>
      </c>
      <c r="L114">
        <v>9.1999999999999993</v>
      </c>
      <c r="M114">
        <v>9.1</v>
      </c>
      <c r="N114">
        <v>9.1</v>
      </c>
      <c r="O114" s="3">
        <f>IFERROR(AVERAGE(tblMain[[#This Row],[Primary_Total]],tblMain[[#This Row],[Upper_Primary_Total]],tblMain[[#This Row],[Secondary_Total]],tblMain[[#This Row],[HrSecondary_Total]]), "NULL")</f>
        <v>10.125</v>
      </c>
      <c r="P114">
        <v>112.7</v>
      </c>
      <c r="Q114">
        <v>114</v>
      </c>
      <c r="R114">
        <v>113.3</v>
      </c>
      <c r="S114">
        <v>113.2</v>
      </c>
      <c r="T114">
        <v>114.9</v>
      </c>
      <c r="U114">
        <v>114</v>
      </c>
      <c r="V114">
        <v>117.1</v>
      </c>
      <c r="W114">
        <v>116.9</v>
      </c>
      <c r="X114">
        <v>117</v>
      </c>
      <c r="Y114">
        <v>44.8</v>
      </c>
      <c r="Z114">
        <v>36.9</v>
      </c>
      <c r="AA114">
        <v>41</v>
      </c>
      <c r="AB114">
        <v>91.2</v>
      </c>
      <c r="AC114" s="3">
        <f>IFERROR(AVERAGE(tblMain[[#This Row],[GER_Primary_Total]],tblMain[[#This Row],[GER_Upper_Primary_Total]],tblMain[[#This Row],[GER_Secondary_Total]],tblMain[[#This Row],[GER_HrSecondary_Girls]]),"NULL")</f>
        <v>95.3</v>
      </c>
      <c r="AD114">
        <v>89.1</v>
      </c>
      <c r="AE114">
        <v>11.4</v>
      </c>
      <c r="AF114">
        <v>24.9</v>
      </c>
      <c r="AG114">
        <v>84.5</v>
      </c>
    </row>
    <row r="115" spans="1:33" x14ac:dyDescent="0.35">
      <c r="A115" t="s">
        <v>68</v>
      </c>
      <c r="B115" t="s">
        <v>35</v>
      </c>
      <c r="C115">
        <v>1.4</v>
      </c>
      <c r="D115">
        <v>1.2</v>
      </c>
      <c r="E115">
        <v>1.3</v>
      </c>
      <c r="F115">
        <v>2.4</v>
      </c>
      <c r="G115">
        <v>1.6</v>
      </c>
      <c r="H115">
        <v>2</v>
      </c>
      <c r="I115">
        <v>28</v>
      </c>
      <c r="J115">
        <v>28.8</v>
      </c>
      <c r="K115">
        <v>28.4</v>
      </c>
      <c r="L115">
        <v>9</v>
      </c>
      <c r="M115">
        <v>8.9</v>
      </c>
      <c r="N115">
        <v>8.9</v>
      </c>
      <c r="O115" s="3">
        <f>IFERROR(AVERAGE(tblMain[[#This Row],[Primary_Total]],tblMain[[#This Row],[Upper_Primary_Total]],tblMain[[#This Row],[Secondary_Total]],tblMain[[#This Row],[HrSecondary_Total]]), "NULL")</f>
        <v>10.15</v>
      </c>
      <c r="P115">
        <v>109.5</v>
      </c>
      <c r="Q115">
        <v>110.5</v>
      </c>
      <c r="R115">
        <v>110</v>
      </c>
      <c r="S115">
        <v>118.8</v>
      </c>
      <c r="T115">
        <v>122.4</v>
      </c>
      <c r="U115">
        <v>120.5</v>
      </c>
      <c r="V115">
        <v>119.8</v>
      </c>
      <c r="W115">
        <v>121.4</v>
      </c>
      <c r="X115">
        <v>120.6</v>
      </c>
      <c r="Y115">
        <v>46.5</v>
      </c>
      <c r="Z115">
        <v>40.1</v>
      </c>
      <c r="AA115">
        <v>43.4</v>
      </c>
      <c r="AB115">
        <v>99.4</v>
      </c>
      <c r="AC115" s="3">
        <f>IFERROR(AVERAGE(tblMain[[#This Row],[GER_Primary_Total]],tblMain[[#This Row],[GER_Upper_Primary_Total]],tblMain[[#This Row],[GER_Secondary_Total]],tblMain[[#This Row],[GER_HrSecondary_Girls]]),"NULL")</f>
        <v>97.800000000000011</v>
      </c>
      <c r="AD115">
        <v>99.9</v>
      </c>
      <c r="AE115">
        <v>15.1</v>
      </c>
      <c r="AF115">
        <v>28.6</v>
      </c>
      <c r="AG115">
        <v>89</v>
      </c>
    </row>
    <row r="116" spans="1:33" x14ac:dyDescent="0.35">
      <c r="A116" t="s">
        <v>68</v>
      </c>
      <c r="B116" t="s">
        <v>36</v>
      </c>
      <c r="C116" t="s">
        <v>33</v>
      </c>
      <c r="D116" t="s">
        <v>33</v>
      </c>
      <c r="E116" t="s">
        <v>33</v>
      </c>
      <c r="F116" t="s">
        <v>33</v>
      </c>
      <c r="G116" t="s">
        <v>33</v>
      </c>
      <c r="H116" t="s">
        <v>33</v>
      </c>
      <c r="I116" t="s">
        <v>33</v>
      </c>
      <c r="J116" t="s">
        <v>33</v>
      </c>
      <c r="K116" t="s">
        <v>33</v>
      </c>
      <c r="L116" t="s">
        <v>33</v>
      </c>
      <c r="M116" t="s">
        <v>33</v>
      </c>
      <c r="N116" t="s">
        <v>33</v>
      </c>
      <c r="O116" s="3" t="str">
        <f>IFERROR(AVERAGE(tblMain[[#This Row],[Primary_Total]],tblMain[[#This Row],[Upper_Primary_Total]],tblMain[[#This Row],[Secondary_Total]],tblMain[[#This Row],[HrSecondary_Total]]), "NULL")</f>
        <v>NULL</v>
      </c>
      <c r="P116">
        <v>107.6</v>
      </c>
      <c r="Q116">
        <v>108.4</v>
      </c>
      <c r="R116">
        <v>108</v>
      </c>
      <c r="S116">
        <v>125.8</v>
      </c>
      <c r="T116">
        <v>130.30000000000001</v>
      </c>
      <c r="U116">
        <v>128</v>
      </c>
      <c r="V116">
        <v>116.2</v>
      </c>
      <c r="W116">
        <v>120.9</v>
      </c>
      <c r="X116">
        <v>118.5</v>
      </c>
      <c r="Y116">
        <v>45.2</v>
      </c>
      <c r="Z116">
        <v>41.5</v>
      </c>
      <c r="AA116">
        <v>43.5</v>
      </c>
      <c r="AB116">
        <v>99.7</v>
      </c>
      <c r="AC116" s="3">
        <f>IFERROR(AVERAGE(tblMain[[#This Row],[GER_Primary_Total]],tblMain[[#This Row],[GER_Upper_Primary_Total]],tblMain[[#This Row],[GER_Secondary_Total]],tblMain[[#This Row],[GER_HrSecondary_Girls]]),"NULL")</f>
        <v>99</v>
      </c>
      <c r="AD116">
        <v>99.9</v>
      </c>
      <c r="AE116">
        <v>15.7</v>
      </c>
      <c r="AF116">
        <v>29.8</v>
      </c>
      <c r="AG116">
        <v>89.8</v>
      </c>
    </row>
    <row r="117" spans="1:33" x14ac:dyDescent="0.35">
      <c r="A117" t="s">
        <v>69</v>
      </c>
      <c r="B117" t="s">
        <v>35</v>
      </c>
      <c r="C117">
        <v>9.1</v>
      </c>
      <c r="D117">
        <v>8</v>
      </c>
      <c r="E117">
        <v>8.6</v>
      </c>
      <c r="F117">
        <v>0.8</v>
      </c>
      <c r="G117">
        <v>4.5999999999999996</v>
      </c>
      <c r="H117">
        <v>2.7</v>
      </c>
      <c r="I117">
        <v>9.9</v>
      </c>
      <c r="J117">
        <v>10.6</v>
      </c>
      <c r="K117">
        <v>10.199999999999999</v>
      </c>
      <c r="L117">
        <v>1.8</v>
      </c>
      <c r="M117">
        <v>2.5</v>
      </c>
      <c r="N117">
        <v>2.1</v>
      </c>
      <c r="O117" s="3">
        <f>IFERROR(AVERAGE(tblMain[[#This Row],[Primary_Total]],tblMain[[#This Row],[Upper_Primary_Total]],tblMain[[#This Row],[Secondary_Total]],tblMain[[#This Row],[HrSecondary_Total]]), "NULL")</f>
        <v>5.9</v>
      </c>
      <c r="P117">
        <v>91.5</v>
      </c>
      <c r="Q117">
        <v>98.9</v>
      </c>
      <c r="R117">
        <v>95</v>
      </c>
      <c r="S117">
        <v>68.099999999999994</v>
      </c>
      <c r="T117">
        <v>82.3</v>
      </c>
      <c r="U117">
        <v>74.5</v>
      </c>
      <c r="V117">
        <v>67.900000000000006</v>
      </c>
      <c r="W117">
        <v>67.7</v>
      </c>
      <c r="X117">
        <v>67.8</v>
      </c>
      <c r="Y117">
        <v>65.400000000000006</v>
      </c>
      <c r="Z117">
        <v>62</v>
      </c>
      <c r="AA117">
        <v>63.8</v>
      </c>
      <c r="AB117">
        <v>98.5</v>
      </c>
      <c r="AC117" s="3">
        <f>IFERROR(AVERAGE(tblMain[[#This Row],[GER_Primary_Total]],tblMain[[#This Row],[GER_Upper_Primary_Total]],tblMain[[#This Row],[GER_Secondary_Total]],tblMain[[#This Row],[GER_HrSecondary_Girls]]),"NULL")</f>
        <v>74.825000000000003</v>
      </c>
      <c r="AD117">
        <v>98.7</v>
      </c>
      <c r="AE117">
        <v>12.7</v>
      </c>
      <c r="AF117">
        <v>53.6</v>
      </c>
      <c r="AG117">
        <v>98.6</v>
      </c>
    </row>
    <row r="118" spans="1:33" x14ac:dyDescent="0.35">
      <c r="A118" t="s">
        <v>69</v>
      </c>
      <c r="B118" t="s">
        <v>34</v>
      </c>
      <c r="C118" t="s">
        <v>33</v>
      </c>
      <c r="D118" t="s">
        <v>33</v>
      </c>
      <c r="E118" t="s">
        <v>33</v>
      </c>
      <c r="F118" t="s">
        <v>33</v>
      </c>
      <c r="G118" t="s">
        <v>33</v>
      </c>
      <c r="H118" t="s">
        <v>33</v>
      </c>
      <c r="I118" t="s">
        <v>33</v>
      </c>
      <c r="J118" t="s">
        <v>33</v>
      </c>
      <c r="K118" t="s">
        <v>33</v>
      </c>
      <c r="L118" t="s">
        <v>33</v>
      </c>
      <c r="M118" t="s">
        <v>33</v>
      </c>
      <c r="N118" t="s">
        <v>33</v>
      </c>
      <c r="O118" s="3" t="str">
        <f>IFERROR(AVERAGE(tblMain[[#This Row],[Primary_Total]],tblMain[[#This Row],[Upper_Primary_Total]],tblMain[[#This Row],[Secondary_Total]],tblMain[[#This Row],[HrSecondary_Total]]), "NULL")</f>
        <v>NULL</v>
      </c>
      <c r="P118">
        <v>93.3</v>
      </c>
      <c r="Q118">
        <v>99.9</v>
      </c>
      <c r="R118">
        <v>96.4</v>
      </c>
      <c r="S118">
        <v>67.3</v>
      </c>
      <c r="T118">
        <v>80.099999999999994</v>
      </c>
      <c r="U118">
        <v>73.2</v>
      </c>
      <c r="V118">
        <v>66.5</v>
      </c>
      <c r="W118">
        <v>65.8</v>
      </c>
      <c r="X118">
        <v>66.2</v>
      </c>
      <c r="Y118">
        <v>62.5</v>
      </c>
      <c r="Z118">
        <v>59.9</v>
      </c>
      <c r="AA118">
        <v>61.3</v>
      </c>
      <c r="AB118">
        <v>97.3</v>
      </c>
      <c r="AC118" s="3">
        <f>IFERROR(AVERAGE(tblMain[[#This Row],[GER_Primary_Total]],tblMain[[#This Row],[GER_Upper_Primary_Total]],tblMain[[#This Row],[GER_Secondary_Total]],tblMain[[#This Row],[GER_HrSecondary_Girls]]),"NULL")</f>
        <v>73.924999999999997</v>
      </c>
      <c r="AD118">
        <v>98.7</v>
      </c>
      <c r="AE118">
        <v>11.1</v>
      </c>
      <c r="AF118">
        <v>52.2</v>
      </c>
      <c r="AG118">
        <v>98.2</v>
      </c>
    </row>
    <row r="119" spans="1:33" x14ac:dyDescent="0.35">
      <c r="A119" t="s">
        <v>69</v>
      </c>
      <c r="B119" t="s">
        <v>36</v>
      </c>
      <c r="C119" t="s">
        <v>33</v>
      </c>
      <c r="D119" t="s">
        <v>33</v>
      </c>
      <c r="E119" t="s">
        <v>33</v>
      </c>
      <c r="F119" t="s">
        <v>33</v>
      </c>
      <c r="G119" t="s">
        <v>33</v>
      </c>
      <c r="H119" t="s">
        <v>33</v>
      </c>
      <c r="I119" t="s">
        <v>33</v>
      </c>
      <c r="J119" t="s">
        <v>33</v>
      </c>
      <c r="K119" t="s">
        <v>33</v>
      </c>
      <c r="L119" t="s">
        <v>33</v>
      </c>
      <c r="M119" t="s">
        <v>33</v>
      </c>
      <c r="N119" t="s">
        <v>33</v>
      </c>
      <c r="O119" s="3" t="str">
        <f>IFERROR(AVERAGE(tblMain[[#This Row],[Primary_Total]],tblMain[[#This Row],[Upper_Primary_Total]],tblMain[[#This Row],[Secondary_Total]],tblMain[[#This Row],[HrSecondary_Total]]), "NULL")</f>
        <v>NULL</v>
      </c>
      <c r="P119">
        <v>88.6</v>
      </c>
      <c r="Q119">
        <v>96.2</v>
      </c>
      <c r="R119">
        <v>92.2</v>
      </c>
      <c r="S119">
        <v>68.2</v>
      </c>
      <c r="T119">
        <v>83.5</v>
      </c>
      <c r="U119">
        <v>75.099999999999994</v>
      </c>
      <c r="V119">
        <v>67.7</v>
      </c>
      <c r="W119">
        <v>67.900000000000006</v>
      </c>
      <c r="X119">
        <v>67.8</v>
      </c>
      <c r="Y119">
        <v>62.2</v>
      </c>
      <c r="Z119">
        <v>59.3</v>
      </c>
      <c r="AA119">
        <v>60.8</v>
      </c>
      <c r="AB119">
        <v>99.7</v>
      </c>
      <c r="AC119" s="3">
        <f>IFERROR(AVERAGE(tblMain[[#This Row],[GER_Primary_Total]],tblMain[[#This Row],[GER_Upper_Primary_Total]],tblMain[[#This Row],[GER_Secondary_Total]],tblMain[[#This Row],[GER_HrSecondary_Girls]]),"NULL")</f>
        <v>73.600000000000009</v>
      </c>
      <c r="AD119">
        <v>99.8</v>
      </c>
      <c r="AE119">
        <v>13.3</v>
      </c>
      <c r="AF119">
        <v>54.3</v>
      </c>
      <c r="AG119">
        <v>98.7</v>
      </c>
    </row>
    <row r="120" spans="1:33" x14ac:dyDescent="0.35">
      <c r="A120" t="s">
        <v>70</v>
      </c>
      <c r="B120" t="s">
        <v>32</v>
      </c>
      <c r="C120">
        <v>1.1000000000000001</v>
      </c>
      <c r="D120">
        <v>1.2</v>
      </c>
      <c r="E120">
        <v>1.2</v>
      </c>
      <c r="F120">
        <v>3.9</v>
      </c>
      <c r="G120">
        <v>1</v>
      </c>
      <c r="H120">
        <v>0.1</v>
      </c>
      <c r="I120">
        <v>9</v>
      </c>
      <c r="J120">
        <v>10.5</v>
      </c>
      <c r="K120">
        <v>9.6999999999999993</v>
      </c>
      <c r="L120">
        <v>1.4</v>
      </c>
      <c r="M120">
        <v>1.9</v>
      </c>
      <c r="N120">
        <v>1.6</v>
      </c>
      <c r="O120" s="3">
        <f>IFERROR(AVERAGE(tblMain[[#This Row],[Primary_Total]],tblMain[[#This Row],[Upper_Primary_Total]],tblMain[[#This Row],[Secondary_Total]],tblMain[[#This Row],[HrSecondary_Total]]), "NULL")</f>
        <v>3.15</v>
      </c>
      <c r="P120" t="s">
        <v>33</v>
      </c>
      <c r="Q120" t="s">
        <v>33</v>
      </c>
      <c r="R120" t="s">
        <v>33</v>
      </c>
      <c r="S120" t="s">
        <v>33</v>
      </c>
      <c r="T120" t="s">
        <v>33</v>
      </c>
      <c r="U120" t="s">
        <v>33</v>
      </c>
      <c r="V120" t="s">
        <v>33</v>
      </c>
      <c r="W120" t="s">
        <v>33</v>
      </c>
      <c r="X120" t="s">
        <v>33</v>
      </c>
      <c r="Y120" t="s">
        <v>33</v>
      </c>
      <c r="Z120" t="s">
        <v>33</v>
      </c>
      <c r="AA120" t="s">
        <v>33</v>
      </c>
      <c r="AB120" t="s">
        <v>33</v>
      </c>
      <c r="AC120" t="str">
        <f>IFERROR(AVERAGE(tblMain[[#This Row],[GER_Primary_Total]],tblMain[[#This Row],[GER_Upper_Primary_Total]],tblMain[[#This Row],[GER_Secondary_Total]],tblMain[[#This Row],[GER_HrSecondary_Girls]]),"NULL")</f>
        <v>NULL</v>
      </c>
      <c r="AD120" t="s">
        <v>33</v>
      </c>
      <c r="AE120" t="s">
        <v>33</v>
      </c>
      <c r="AF120" t="s">
        <v>33</v>
      </c>
      <c r="AG120" t="s">
        <v>33</v>
      </c>
    </row>
    <row r="121" spans="1:33" x14ac:dyDescent="0.35">
      <c r="A121" t="s">
        <v>70</v>
      </c>
      <c r="B121" t="s">
        <v>35</v>
      </c>
      <c r="C121">
        <v>4.4000000000000004</v>
      </c>
      <c r="D121">
        <v>3.7</v>
      </c>
      <c r="E121">
        <v>4</v>
      </c>
      <c r="F121">
        <v>0.8</v>
      </c>
      <c r="G121">
        <v>1.6</v>
      </c>
      <c r="H121">
        <v>1.2</v>
      </c>
      <c r="I121">
        <v>11.3</v>
      </c>
      <c r="J121">
        <v>9.5</v>
      </c>
      <c r="K121">
        <v>10.4</v>
      </c>
      <c r="L121">
        <v>3.4</v>
      </c>
      <c r="M121">
        <v>2.6</v>
      </c>
      <c r="N121">
        <v>3</v>
      </c>
      <c r="O121" s="3">
        <f>IFERROR(AVERAGE(tblMain[[#This Row],[Primary_Total]],tblMain[[#This Row],[Upper_Primary_Total]],tblMain[[#This Row],[Secondary_Total]],tblMain[[#This Row],[HrSecondary_Total]]), "NULL")</f>
        <v>4.6500000000000004</v>
      </c>
      <c r="P121">
        <v>100.1</v>
      </c>
      <c r="Q121">
        <v>101</v>
      </c>
      <c r="R121">
        <v>100.5</v>
      </c>
      <c r="S121">
        <v>84.2</v>
      </c>
      <c r="T121">
        <v>87</v>
      </c>
      <c r="U121">
        <v>85.5</v>
      </c>
      <c r="V121">
        <v>91</v>
      </c>
      <c r="W121">
        <v>89.7</v>
      </c>
      <c r="X121">
        <v>90.4</v>
      </c>
      <c r="Y121">
        <v>79.8</v>
      </c>
      <c r="Z121">
        <v>81</v>
      </c>
      <c r="AA121">
        <v>80.400000000000006</v>
      </c>
      <c r="AB121">
        <v>96.5</v>
      </c>
      <c r="AC121" s="3">
        <f>IFERROR(AVERAGE(tblMain[[#This Row],[GER_Primary_Total]],tblMain[[#This Row],[GER_Upper_Primary_Total]],tblMain[[#This Row],[GER_Secondary_Total]],tblMain[[#This Row],[GER_HrSecondary_Girls]]),"NULL")</f>
        <v>89.35</v>
      </c>
      <c r="AD121">
        <v>96</v>
      </c>
      <c r="AE121">
        <v>33</v>
      </c>
      <c r="AF121">
        <v>77</v>
      </c>
      <c r="AG121">
        <v>95.1</v>
      </c>
    </row>
    <row r="122" spans="1:33" x14ac:dyDescent="0.35">
      <c r="A122" t="s">
        <v>70</v>
      </c>
      <c r="B122" t="s">
        <v>34</v>
      </c>
      <c r="C122" t="s">
        <v>33</v>
      </c>
      <c r="D122" t="s">
        <v>33</v>
      </c>
      <c r="E122" t="s">
        <v>33</v>
      </c>
      <c r="F122" t="s">
        <v>33</v>
      </c>
      <c r="G122" t="s">
        <v>33</v>
      </c>
      <c r="H122" t="s">
        <v>33</v>
      </c>
      <c r="I122" t="s">
        <v>33</v>
      </c>
      <c r="J122" t="s">
        <v>33</v>
      </c>
      <c r="K122" t="s">
        <v>33</v>
      </c>
      <c r="L122" t="s">
        <v>33</v>
      </c>
      <c r="M122" t="s">
        <v>33</v>
      </c>
      <c r="N122" t="s">
        <v>33</v>
      </c>
      <c r="O122" s="3" t="str">
        <f>IFERROR(AVERAGE(tblMain[[#This Row],[Primary_Total]],tblMain[[#This Row],[Upper_Primary_Total]],tblMain[[#This Row],[Secondary_Total]],tblMain[[#This Row],[HrSecondary_Total]]), "NULL")</f>
        <v>NULL</v>
      </c>
      <c r="P122">
        <v>100</v>
      </c>
      <c r="Q122">
        <v>101.3</v>
      </c>
      <c r="R122">
        <v>100.6</v>
      </c>
      <c r="S122">
        <v>85.2</v>
      </c>
      <c r="T122">
        <v>87.5</v>
      </c>
      <c r="U122">
        <v>86.5</v>
      </c>
      <c r="V122">
        <v>89.3</v>
      </c>
      <c r="W122">
        <v>87</v>
      </c>
      <c r="X122">
        <v>88.2</v>
      </c>
      <c r="Y122">
        <v>76.3</v>
      </c>
      <c r="Z122">
        <v>76.3</v>
      </c>
      <c r="AA122">
        <v>76.3</v>
      </c>
      <c r="AB122">
        <v>94.7</v>
      </c>
      <c r="AC122" s="3">
        <f>IFERROR(AVERAGE(tblMain[[#This Row],[GER_Primary_Total]],tblMain[[#This Row],[GER_Upper_Primary_Total]],tblMain[[#This Row],[GER_Secondary_Total]],tblMain[[#This Row],[GER_HrSecondary_Girls]]),"NULL")</f>
        <v>87.9</v>
      </c>
      <c r="AD122">
        <v>96.1</v>
      </c>
      <c r="AE122">
        <v>32</v>
      </c>
      <c r="AF122">
        <v>74.2</v>
      </c>
      <c r="AG122">
        <v>95.7</v>
      </c>
    </row>
    <row r="123" spans="1:33" x14ac:dyDescent="0.35">
      <c r="A123" t="s">
        <v>70</v>
      </c>
      <c r="B123" t="s">
        <v>36</v>
      </c>
      <c r="C123" t="s">
        <v>33</v>
      </c>
      <c r="D123" t="s">
        <v>33</v>
      </c>
      <c r="E123" t="s">
        <v>33</v>
      </c>
      <c r="F123" t="s">
        <v>33</v>
      </c>
      <c r="G123" t="s">
        <v>33</v>
      </c>
      <c r="H123" t="s">
        <v>33</v>
      </c>
      <c r="I123" t="s">
        <v>33</v>
      </c>
      <c r="J123" t="s">
        <v>33</v>
      </c>
      <c r="K123" t="s">
        <v>33</v>
      </c>
      <c r="L123" t="s">
        <v>33</v>
      </c>
      <c r="M123" t="s">
        <v>33</v>
      </c>
      <c r="N123" t="s">
        <v>33</v>
      </c>
      <c r="O123" s="3" t="str">
        <f>IFERROR(AVERAGE(tblMain[[#This Row],[Primary_Total]],tblMain[[#This Row],[Upper_Primary_Total]],tblMain[[#This Row],[Secondary_Total]],tblMain[[#This Row],[HrSecondary_Total]]), "NULL")</f>
        <v>NULL</v>
      </c>
      <c r="P123">
        <v>98.9</v>
      </c>
      <c r="Q123">
        <v>99.8</v>
      </c>
      <c r="R123">
        <v>99.3</v>
      </c>
      <c r="S123">
        <v>85.8</v>
      </c>
      <c r="T123">
        <v>88.1</v>
      </c>
      <c r="U123">
        <v>86.9</v>
      </c>
      <c r="V123">
        <v>85.7</v>
      </c>
      <c r="W123">
        <v>85.7</v>
      </c>
      <c r="X123">
        <v>85.7</v>
      </c>
      <c r="Y123">
        <v>73.400000000000006</v>
      </c>
      <c r="Z123">
        <v>78.5</v>
      </c>
      <c r="AA123">
        <v>75.8</v>
      </c>
      <c r="AB123">
        <v>97.4</v>
      </c>
      <c r="AC123" s="3">
        <f>IFERROR(AVERAGE(tblMain[[#This Row],[GER_Primary_Total]],tblMain[[#This Row],[GER_Upper_Primary_Total]],tblMain[[#This Row],[GER_Secondary_Total]],tblMain[[#This Row],[GER_HrSecondary_Girls]]),"NULL")</f>
        <v>87.6</v>
      </c>
      <c r="AD123">
        <v>97.2</v>
      </c>
      <c r="AE123">
        <v>33.5</v>
      </c>
      <c r="AF123">
        <v>78.599999999999994</v>
      </c>
      <c r="AG123">
        <v>96.4</v>
      </c>
    </row>
    <row r="124" spans="1:33" x14ac:dyDescent="0.35">
      <c r="A124" t="s">
        <v>71</v>
      </c>
      <c r="B124" t="s">
        <v>32</v>
      </c>
      <c r="C124">
        <v>6.9</v>
      </c>
      <c r="D124">
        <v>5.7</v>
      </c>
      <c r="E124">
        <v>6.3</v>
      </c>
      <c r="F124">
        <v>6.3</v>
      </c>
      <c r="G124">
        <v>4.2</v>
      </c>
      <c r="H124">
        <v>5.2</v>
      </c>
      <c r="I124">
        <v>15</v>
      </c>
      <c r="J124">
        <v>19.399999999999999</v>
      </c>
      <c r="K124">
        <v>17.3</v>
      </c>
      <c r="L124">
        <v>7.8</v>
      </c>
      <c r="M124">
        <v>8.5</v>
      </c>
      <c r="N124">
        <v>8.1</v>
      </c>
      <c r="O124" s="3">
        <f>IFERROR(AVERAGE(tblMain[[#This Row],[Primary_Total]],tblMain[[#This Row],[Upper_Primary_Total]],tblMain[[#This Row],[Secondary_Total]],tblMain[[#This Row],[HrSecondary_Total]]), "NULL")</f>
        <v>9.2249999999999996</v>
      </c>
      <c r="P124" t="s">
        <v>33</v>
      </c>
      <c r="Q124" t="s">
        <v>33</v>
      </c>
      <c r="R124" t="s">
        <v>33</v>
      </c>
      <c r="S124" t="s">
        <v>33</v>
      </c>
      <c r="T124" t="s">
        <v>33</v>
      </c>
      <c r="U124" t="s">
        <v>33</v>
      </c>
      <c r="V124" t="s">
        <v>33</v>
      </c>
      <c r="W124" t="s">
        <v>33</v>
      </c>
      <c r="X124" t="s">
        <v>33</v>
      </c>
      <c r="Y124" t="s">
        <v>33</v>
      </c>
      <c r="Z124" t="s">
        <v>33</v>
      </c>
      <c r="AA124" t="s">
        <v>33</v>
      </c>
      <c r="AB124" t="s">
        <v>33</v>
      </c>
      <c r="AC124" t="str">
        <f>IFERROR(AVERAGE(tblMain[[#This Row],[GER_Primary_Total]],tblMain[[#This Row],[GER_Upper_Primary_Total]],tblMain[[#This Row],[GER_Secondary_Total]],tblMain[[#This Row],[GER_HrSecondary_Girls]]),"NULL")</f>
        <v>NULL</v>
      </c>
      <c r="AD124" t="s">
        <v>33</v>
      </c>
      <c r="AE124" t="s">
        <v>33</v>
      </c>
      <c r="AF124" t="s">
        <v>33</v>
      </c>
      <c r="AG124" t="s">
        <v>33</v>
      </c>
    </row>
    <row r="125" spans="1:33" x14ac:dyDescent="0.35">
      <c r="A125" t="s">
        <v>71</v>
      </c>
      <c r="B125" t="s">
        <v>34</v>
      </c>
      <c r="C125">
        <v>3.4</v>
      </c>
      <c r="D125">
        <v>2.4</v>
      </c>
      <c r="E125">
        <v>2.9</v>
      </c>
      <c r="F125">
        <v>5.6</v>
      </c>
      <c r="G125">
        <v>3.1</v>
      </c>
      <c r="H125">
        <v>4.3</v>
      </c>
      <c r="I125">
        <v>16.7</v>
      </c>
      <c r="J125">
        <v>19.8</v>
      </c>
      <c r="K125">
        <v>18.3</v>
      </c>
      <c r="L125">
        <v>8</v>
      </c>
      <c r="M125">
        <v>7.8</v>
      </c>
      <c r="N125">
        <v>7.9</v>
      </c>
      <c r="O125" s="3">
        <f>IFERROR(AVERAGE(tblMain[[#This Row],[Primary_Total]],tblMain[[#This Row],[Upper_Primary_Total]],tblMain[[#This Row],[Secondary_Total]],tblMain[[#This Row],[HrSecondary_Total]]), "NULL")</f>
        <v>8.35</v>
      </c>
      <c r="P125">
        <v>103.2</v>
      </c>
      <c r="Q125">
        <v>104.9</v>
      </c>
      <c r="R125">
        <v>104</v>
      </c>
      <c r="S125">
        <v>92.8</v>
      </c>
      <c r="T125">
        <v>106.9</v>
      </c>
      <c r="U125">
        <v>99.6</v>
      </c>
      <c r="V125">
        <v>68.599999999999994</v>
      </c>
      <c r="W125">
        <v>81.3</v>
      </c>
      <c r="X125">
        <v>74.8</v>
      </c>
      <c r="Y125">
        <v>47.4</v>
      </c>
      <c r="Z125">
        <v>49</v>
      </c>
      <c r="AA125">
        <v>48.1</v>
      </c>
      <c r="AB125">
        <v>81.400000000000006</v>
      </c>
      <c r="AC125" s="3">
        <f>IFERROR(AVERAGE(tblMain[[#This Row],[GER_Primary_Total]],tblMain[[#This Row],[GER_Upper_Primary_Total]],tblMain[[#This Row],[GER_Secondary_Total]],tblMain[[#This Row],[GER_HrSecondary_Girls]]),"NULL")</f>
        <v>81.849999999999994</v>
      </c>
      <c r="AD125">
        <v>82.1</v>
      </c>
      <c r="AE125">
        <v>10.8</v>
      </c>
      <c r="AF125">
        <v>42.8</v>
      </c>
      <c r="AG125">
        <v>97.8</v>
      </c>
    </row>
    <row r="126" spans="1:33" x14ac:dyDescent="0.35">
      <c r="A126" t="s">
        <v>71</v>
      </c>
      <c r="B126" t="s">
        <v>35</v>
      </c>
      <c r="C126">
        <v>2.1</v>
      </c>
      <c r="D126">
        <v>0.8</v>
      </c>
      <c r="E126">
        <v>1.5</v>
      </c>
      <c r="F126">
        <v>5.8</v>
      </c>
      <c r="G126">
        <v>2.9</v>
      </c>
      <c r="H126">
        <v>4.3</v>
      </c>
      <c r="I126">
        <v>16.3</v>
      </c>
      <c r="J126">
        <v>19.100000000000001</v>
      </c>
      <c r="K126">
        <v>17.8</v>
      </c>
      <c r="L126">
        <v>8.1999999999999993</v>
      </c>
      <c r="M126">
        <v>8</v>
      </c>
      <c r="N126">
        <v>8.1</v>
      </c>
      <c r="O126" s="3">
        <f>IFERROR(AVERAGE(tblMain[[#This Row],[Primary_Total]],tblMain[[#This Row],[Upper_Primary_Total]],tblMain[[#This Row],[Secondary_Total]],tblMain[[#This Row],[HrSecondary_Total]]), "NULL")</f>
        <v>7.9250000000000007</v>
      </c>
      <c r="P126">
        <v>101.8</v>
      </c>
      <c r="Q126">
        <v>102.9</v>
      </c>
      <c r="R126">
        <v>102.3</v>
      </c>
      <c r="S126">
        <v>96.2</v>
      </c>
      <c r="T126">
        <v>110.7</v>
      </c>
      <c r="U126">
        <v>103.2</v>
      </c>
      <c r="V126">
        <v>70.7</v>
      </c>
      <c r="W126">
        <v>86.1</v>
      </c>
      <c r="X126">
        <v>78.2</v>
      </c>
      <c r="Y126">
        <v>48.3</v>
      </c>
      <c r="Z126">
        <v>51.8</v>
      </c>
      <c r="AA126">
        <v>50</v>
      </c>
      <c r="AB126">
        <v>89.9</v>
      </c>
      <c r="AC126" s="3">
        <f>IFERROR(AVERAGE(tblMain[[#This Row],[GER_Primary_Total]],tblMain[[#This Row],[GER_Upper_Primary_Total]],tblMain[[#This Row],[GER_Secondary_Total]],tblMain[[#This Row],[GER_HrSecondary_Girls]]),"NULL")</f>
        <v>83.875</v>
      </c>
      <c r="AD126">
        <v>92.4</v>
      </c>
      <c r="AE126">
        <v>12.1</v>
      </c>
      <c r="AF126">
        <v>57</v>
      </c>
      <c r="AG126">
        <v>97.9</v>
      </c>
    </row>
    <row r="127" spans="1:33" x14ac:dyDescent="0.35">
      <c r="A127" t="s">
        <v>71</v>
      </c>
      <c r="B127" t="s">
        <v>36</v>
      </c>
      <c r="C127" t="s">
        <v>33</v>
      </c>
      <c r="D127" t="s">
        <v>33</v>
      </c>
      <c r="E127" t="s">
        <v>33</v>
      </c>
      <c r="F127" t="s">
        <v>33</v>
      </c>
      <c r="G127" t="s">
        <v>33</v>
      </c>
      <c r="H127" t="s">
        <v>33</v>
      </c>
      <c r="I127" t="s">
        <v>33</v>
      </c>
      <c r="J127" t="s">
        <v>33</v>
      </c>
      <c r="K127" t="s">
        <v>33</v>
      </c>
      <c r="L127" t="s">
        <v>33</v>
      </c>
      <c r="M127" t="s">
        <v>33</v>
      </c>
      <c r="N127" t="s">
        <v>33</v>
      </c>
      <c r="O127" s="3" t="str">
        <f>IFERROR(AVERAGE(tblMain[[#This Row],[Primary_Total]],tblMain[[#This Row],[Upper_Primary_Total]],tblMain[[#This Row],[Secondary_Total]],tblMain[[#This Row],[HrSecondary_Total]]), "NULL")</f>
        <v>NULL</v>
      </c>
      <c r="P127">
        <v>103.1</v>
      </c>
      <c r="Q127">
        <v>104.3</v>
      </c>
      <c r="R127">
        <v>103.7</v>
      </c>
      <c r="S127">
        <v>97.9</v>
      </c>
      <c r="T127">
        <v>112.6</v>
      </c>
      <c r="U127">
        <v>105</v>
      </c>
      <c r="V127">
        <v>74.900000000000006</v>
      </c>
      <c r="W127">
        <v>92.7</v>
      </c>
      <c r="X127">
        <v>83.6</v>
      </c>
      <c r="Y127">
        <v>49</v>
      </c>
      <c r="Z127">
        <v>54.4</v>
      </c>
      <c r="AA127">
        <v>51.5</v>
      </c>
      <c r="AB127">
        <v>97.7</v>
      </c>
      <c r="AC127" s="3">
        <f>IFERROR(AVERAGE(tblMain[[#This Row],[GER_Primary_Total]],tblMain[[#This Row],[GER_Upper_Primary_Total]],tblMain[[#This Row],[GER_Secondary_Total]],tblMain[[#This Row],[GER_HrSecondary_Girls]]),"NULL")</f>
        <v>86.674999999999983</v>
      </c>
      <c r="AD127">
        <v>98.3</v>
      </c>
      <c r="AE127">
        <v>12.7</v>
      </c>
      <c r="AF127">
        <v>74.900000000000006</v>
      </c>
      <c r="AG127">
        <v>98.4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Workings</vt:lpstr>
      <vt:lpstr>Source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Priyanuj Sharma</dc:creator>
  <cp:lastModifiedBy>Priyanuj Sharma</cp:lastModifiedBy>
  <dcterms:modified xsi:type="dcterms:W3CDTF">2025-07-07T08:17:59Z</dcterms:modified>
</cp:coreProperties>
</file>